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Closure_Map" sheetId="3" state="visible" r:id="rId3"/>
    <sheet xmlns:r="http://schemas.openxmlformats.org/officeDocument/2006/relationships" name="Sco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color rgb="000000FF"/>
    </font>
    <font>
      <color rgb="00C55A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F4B18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  <xf numFmtId="164" fontId="2" fillId="7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K1" authorId="0" shapeId="0">
      <text>
        <t>Vendor should answer here. Prefer document-backed response, not marketing text.</t>
      </text>
    </comment>
    <comment ref="L1" authorId="0" shapeId="0">
      <text>
        <t>Reference the exact source document or drawing title.</t>
      </text>
    </comment>
    <comment ref="M1" authorId="0" shapeId="0">
      <text>
        <t>Issue date or revision/date for traceability.</t>
      </text>
    </comment>
    <comment ref="N1" authorId="0" shapeId="0">
      <text>
        <t>State whether the response is contractually binding or informational only.</t>
      </text>
    </comment>
    <comment ref="O1" authorId="0" shapeId="0">
      <text>
        <t>Suggested entries: Yes / Partial / No.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J1" authorId="0" shapeId="0">
      <text>
        <t>Formula: Weight × MAX(0, AVERAGE(Completeness, Evidence, Adequacy) - 0.5 × ResidualRisk)</t>
      </text>
    </comment>
    <comment ref="K1" authorId="0" shapeId="0">
      <text>
        <t>Automatic knockout flag if a Knockout row has any core score below 3.</t>
      </text>
    </comment>
  </commentList>
</comments>
</file>

<file path=xl/tables/table1.xml><?xml version="1.0" encoding="utf-8"?>
<table xmlns="http://schemas.openxmlformats.org/spreadsheetml/2006/main" id="1" name="QuestionnaireTable" displayName="QuestionnaireTable" ref="A1:P59" headerRowCount="1">
  <autoFilter ref="A1:P59"/>
  <tableColumns count="16">
    <tableColumn id="1" name="ID"/>
    <tableColumn id="2" name="Section"/>
    <tableColumn id="3" name="Priority"/>
    <tableColumn id="4" name="Knockout"/>
    <tableColumn id="5" name="Question"/>
    <tableColumn id="6" name="Why it matters"/>
    <tableColumn id="7" name="Requested response format"/>
    <tableColumn id="8" name="Evidence requested"/>
    <tableColumn id="9" name="Related design rows"/>
    <tableColumn id="10" name="Related assumptions"/>
    <tableColumn id="11" name="Vendor response"/>
    <tableColumn id="12" name="Document reference"/>
    <tableColumn id="13" name="Revision/date"/>
    <tableColumn id="14" name="Contractual or informational"/>
    <tableColumn id="15" name="Received"/>
    <tableColumn id="16" name="Reviewer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osureMapTable" displayName="ClosureMapTable" ref="A1:H29" headerRowCount="1">
  <autoFilter ref="A1:H29"/>
  <tableColumns count="8">
    <tableColumn id="1" name="Closure ID"/>
    <tableColumn id="2" name="Type"/>
    <tableColumn id="3" name="Statement"/>
    <tableColumn id="4" name="Questions covering it"/>
    <tableColumn id="5" name="Closure evidence required"/>
    <tableColumn id="6" name="Status"/>
    <tableColumn id="7" name="Owner"/>
    <tableColumn id="8" name="Not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Vendor Response Workbook — iWin-Type BIPV v3</t>
        </is>
      </c>
    </row>
    <row r="2">
      <c r="A2" s="2" t="inlineStr">
        <is>
          <t>Purpose</t>
        </is>
      </c>
    </row>
    <row r="3">
      <c r="A3" s="3" t="inlineStr">
        <is>
          <t>Use this workbook to collect vendor responses, review evidence quality, and score closure quality against the iWin pre-design pack.</t>
        </is>
      </c>
    </row>
    <row r="4">
      <c r="A4" s="2" t="inlineStr">
        <is>
          <t>House rules</t>
        </is>
      </c>
    </row>
    <row r="5">
      <c r="A5" s="3" t="inlineStr">
        <is>
          <t>1. Every response must reference a revision-controlled document, drawing, report, or procedure where applicable.</t>
        </is>
      </c>
    </row>
    <row r="6">
      <c r="A6" s="3" t="inlineStr">
        <is>
          <t>2. Mark each response as contractual or informational.</t>
        </is>
      </c>
    </row>
    <row r="7">
      <c r="A7" s="3" t="inlineStr">
        <is>
          <t>3. Priority A items and all Knockout = Y rows should be treated as mandatory for credible technical screening.</t>
        </is>
      </c>
    </row>
    <row r="8">
      <c r="A8" s="3" t="inlineStr">
        <is>
          <t>4. Use the Questionnaire sheet for the raw response, Closure_Map to track blocked assumptions/design rows, and Scoring for the internal review.</t>
        </is>
      </c>
    </row>
    <row r="9">
      <c r="A9" s="2" t="inlineStr">
        <is>
          <t>Sheet guide</t>
        </is>
      </c>
    </row>
    <row r="10">
      <c r="A10" s="3" t="inlineStr">
        <is>
          <t>Questionnaire — vendor-facing response matrix with blank response columns.</t>
        </is>
      </c>
    </row>
    <row r="11">
      <c r="A11" s="3" t="inlineStr">
        <is>
          <t>Closure_Map — maps open assumptions and design-envelope rows to the questions that close them.</t>
        </is>
      </c>
    </row>
    <row r="12">
      <c r="A12" s="3" t="inlineStr">
        <is>
          <t>Scoring — internal weighted review sheet with knockout logic.</t>
        </is>
      </c>
    </row>
  </sheetData>
  <mergeCells count="12">
    <mergeCell ref="A2:F2"/>
    <mergeCell ref="A11:F11"/>
    <mergeCell ref="A10:F10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9" customWidth="1" min="4" max="4"/>
    <col width="48" customWidth="1" min="5" max="5"/>
    <col width="36" customWidth="1" min="6" max="6"/>
    <col width="22" customWidth="1" min="7" max="7"/>
    <col width="32" customWidth="1" min="8" max="8"/>
    <col width="18" customWidth="1" min="9" max="9"/>
    <col width="16" customWidth="1" min="10" max="10"/>
    <col width="30" customWidth="1" min="11" max="11"/>
    <col width="24" customWidth="1" min="12" max="12"/>
    <col width="14" customWidth="1" min="13" max="13"/>
    <col width="18" customWidth="1" min="14" max="14"/>
    <col width="10" customWidth="1" min="15" max="15"/>
    <col width="28" customWidth="1" min="16" max="16"/>
  </cols>
  <sheetData>
    <row r="1">
      <c r="A1" s="4" t="inlineStr">
        <is>
          <t>ID</t>
        </is>
      </c>
      <c r="B1" s="4" t="inlineStr">
        <is>
          <t>Section</t>
        </is>
      </c>
      <c r="C1" s="4" t="inlineStr">
        <is>
          <t>Priority</t>
        </is>
      </c>
      <c r="D1" s="4" t="inlineStr">
        <is>
          <t>Knockout</t>
        </is>
      </c>
      <c r="E1" s="4" t="inlineStr">
        <is>
          <t>Question</t>
        </is>
      </c>
      <c r="F1" s="4" t="inlineStr">
        <is>
          <t>Why it matters</t>
        </is>
      </c>
      <c r="G1" s="4" t="inlineStr">
        <is>
          <t>Requested response format</t>
        </is>
      </c>
      <c r="H1" s="4" t="inlineStr">
        <is>
          <t>Evidence requested</t>
        </is>
      </c>
      <c r="I1" s="4" t="inlineStr">
        <is>
          <t>Related design rows</t>
        </is>
      </c>
      <c r="J1" s="4" t="inlineStr">
        <is>
          <t>Related assumptions</t>
        </is>
      </c>
      <c r="K1" s="4" t="inlineStr">
        <is>
          <t>Vendor response</t>
        </is>
      </c>
      <c r="L1" s="4" t="inlineStr">
        <is>
          <t>Document reference</t>
        </is>
      </c>
      <c r="M1" s="4" t="inlineStr">
        <is>
          <t>Revision/date</t>
        </is>
      </c>
      <c r="N1" s="4" t="inlineStr">
        <is>
          <t>Contractual or informational</t>
        </is>
      </c>
      <c r="O1" s="4" t="inlineStr">
        <is>
          <t>Received</t>
        </is>
      </c>
      <c r="P1" s="4" t="inlineStr">
        <is>
          <t>Reviewer notes</t>
        </is>
      </c>
    </row>
    <row r="2">
      <c r="A2" s="5" t="inlineStr">
        <is>
          <t>DOC-01</t>
        </is>
      </c>
      <c r="B2" s="5" t="inlineStr">
        <is>
          <t>Document control</t>
        </is>
      </c>
      <c r="C2" s="6" t="inlineStr">
        <is>
          <t>A</t>
        </is>
      </c>
      <c r="D2" s="7" t="inlineStr">
        <is>
          <t>Y</t>
        </is>
      </c>
      <c r="E2" s="5" t="inlineStr">
        <is>
          <t>Provide the current commercial product datasheet and the full document list that governs the offered revision.</t>
        </is>
      </c>
      <c r="F2" s="5" t="inlineStr">
        <is>
          <t>Prevents mixing pilot, concept, and current commercial data.</t>
        </is>
      </c>
      <c r="G2" s="5" t="inlineStr">
        <is>
          <t>PDF datasheet + document register</t>
        </is>
      </c>
      <c r="H2" s="5" t="inlineStr">
        <is>
          <t>Datasheet, document list, revision status, issue dates</t>
        </is>
      </c>
      <c r="I2" s="5" t="inlineStr">
        <is>
          <t>S01,S02,S16,S18</t>
        </is>
      </c>
      <c r="J2" s="5" t="inlineStr">
        <is>
          <t>A03</t>
        </is>
      </c>
      <c r="K2" s="8" t="inlineStr"/>
      <c r="L2" s="8" t="inlineStr"/>
      <c r="M2" s="8" t="inlineStr"/>
      <c r="N2" s="8" t="inlineStr"/>
      <c r="O2" s="8" t="inlineStr"/>
      <c r="P2" s="9" t="inlineStr"/>
    </row>
    <row r="3">
      <c r="A3" s="5" t="inlineStr">
        <is>
          <t>DOC-02</t>
        </is>
      </c>
      <c r="B3" s="5" t="inlineStr">
        <is>
          <t>Document control</t>
        </is>
      </c>
      <c r="C3" s="6" t="inlineStr">
        <is>
          <t>A</t>
        </is>
      </c>
      <c r="D3" s="7" t="inlineStr">
        <is>
          <t>Y</t>
        </is>
      </c>
      <c r="E3" s="5" t="inlineStr">
        <is>
          <t>State whether the offered product revision is identical to the one represented on the public product page and in the pilot-validation literature. If not, list all material differences.</t>
        </is>
      </c>
      <c r="F3" s="5" t="inlineStr">
        <is>
          <t>Stops false transfer of pilot or marketing claims onto a different build state.</t>
        </is>
      </c>
      <c r="G3" s="5" t="inlineStr">
        <is>
          <t>Narrative + delta table</t>
        </is>
      </c>
      <c r="H3" s="5" t="inlineStr">
        <is>
          <t>Revision-to-revision change log, superseded part list</t>
        </is>
      </c>
      <c r="I3" s="5" t="inlineStr">
        <is>
          <t>S01,S02,S10</t>
        </is>
      </c>
      <c r="J3" s="5" t="inlineStr">
        <is>
          <t>A03,A04</t>
        </is>
      </c>
      <c r="K3" s="8" t="inlineStr"/>
      <c r="L3" s="8" t="inlineStr"/>
      <c r="M3" s="8" t="inlineStr"/>
      <c r="N3" s="8" t="inlineStr"/>
      <c r="O3" s="8" t="inlineStr"/>
      <c r="P3" s="9" t="inlineStr"/>
    </row>
    <row r="4">
      <c r="A4" s="3" t="inlineStr">
        <is>
          <t>DOC-03</t>
        </is>
      </c>
      <c r="B4" s="3" t="inlineStr">
        <is>
          <t>Document control</t>
        </is>
      </c>
      <c r="C4" s="3" t="inlineStr">
        <is>
          <t>B</t>
        </is>
      </c>
      <c r="D4" s="3" t="inlineStr">
        <is>
          <t>N</t>
        </is>
      </c>
      <c r="E4" s="3" t="inlineStr">
        <is>
          <t>Provide the applicable installation manual, electrical manual, maintenance manual, and troubleshooting guide.</t>
        </is>
      </c>
      <c r="F4" s="3" t="inlineStr">
        <is>
          <t>Closes serviceability and handover scope early.</t>
        </is>
      </c>
      <c r="G4" s="3" t="inlineStr">
        <is>
          <t>PDF set</t>
        </is>
      </c>
      <c r="H4" s="3" t="inlineStr">
        <is>
          <t>Manuals with revision/date</t>
        </is>
      </c>
      <c r="I4" s="3" t="inlineStr">
        <is>
          <t>S18,S19</t>
        </is>
      </c>
      <c r="J4" s="3" t="inlineStr">
        <is>
          <t>A07,A10</t>
        </is>
      </c>
      <c r="K4" s="10" t="inlineStr"/>
      <c r="L4" s="10" t="inlineStr"/>
      <c r="M4" s="10" t="inlineStr"/>
      <c r="N4" s="10" t="inlineStr"/>
      <c r="O4" s="10" t="inlineStr"/>
      <c r="P4" s="11" t="inlineStr"/>
    </row>
    <row r="5">
      <c r="A5" s="3" t="inlineStr">
        <is>
          <t>DOC-04</t>
        </is>
      </c>
      <c r="B5" s="3" t="inlineStr">
        <is>
          <t>Document control</t>
        </is>
      </c>
      <c r="C5" s="3" t="inlineStr">
        <is>
          <t>B</t>
        </is>
      </c>
      <c r="D5" s="3" t="inlineStr">
        <is>
          <t>N</t>
        </is>
      </c>
      <c r="E5" s="3" t="inlineStr">
        <is>
          <t>Name the technical owner for electrical design, façade integration, controls, and warranty decisions.</t>
        </is>
      </c>
      <c r="F5" s="3" t="inlineStr">
        <is>
          <t>Needed for fast closure of cross-disciplinary items.</t>
        </is>
      </c>
      <c r="G5" s="3" t="inlineStr">
        <is>
          <t>Contact table</t>
        </is>
      </c>
      <c r="H5" s="3" t="inlineStr">
        <is>
          <t>Responsible person, role, email, authority boundary</t>
        </is>
      </c>
      <c r="I5" s="3" t="inlineStr">
        <is>
          <t>S18,S19</t>
        </is>
      </c>
      <c r="J5" s="3" t="inlineStr"/>
      <c r="K5" s="10" t="inlineStr"/>
      <c r="L5" s="10" t="inlineStr"/>
      <c r="M5" s="10" t="inlineStr"/>
      <c r="N5" s="10" t="inlineStr"/>
      <c r="O5" s="10" t="inlineStr"/>
      <c r="P5" s="11" t="inlineStr"/>
    </row>
    <row r="6">
      <c r="A6" s="3" t="inlineStr">
        <is>
          <t>DOC-05</t>
        </is>
      </c>
      <c r="B6" s="3" t="inlineStr">
        <is>
          <t>Document control</t>
        </is>
      </c>
      <c r="C6" s="3" t="inlineStr">
        <is>
          <t>B</t>
        </is>
      </c>
      <c r="D6" s="3" t="inlineStr">
        <is>
          <t>N</t>
        </is>
      </c>
      <c r="E6" s="3" t="inlineStr">
        <is>
          <t>List all third-party components embedded in the offered configuration.</t>
        </is>
      </c>
      <c r="F6" s="3" t="inlineStr">
        <is>
          <t>Needed for connector, cable, electronics, and actuator traceability.</t>
        </is>
      </c>
      <c r="G6" s="3" t="inlineStr">
        <is>
          <t>BOM summary table</t>
        </is>
      </c>
      <c r="H6" s="3" t="inlineStr">
        <is>
          <t>Manufacturer, part number, function, revision, country of origin</t>
        </is>
      </c>
      <c r="I6" s="3" t="inlineStr">
        <is>
          <t>S12,S13,S14,S15</t>
        </is>
      </c>
      <c r="J6" s="3" t="inlineStr">
        <is>
          <t>A09</t>
        </is>
      </c>
      <c r="K6" s="10" t="inlineStr"/>
      <c r="L6" s="10" t="inlineStr"/>
      <c r="M6" s="10" t="inlineStr"/>
      <c r="N6" s="10" t="inlineStr"/>
      <c r="O6" s="10" t="inlineStr"/>
      <c r="P6" s="11" t="inlineStr"/>
    </row>
    <row r="7">
      <c r="A7" s="5" t="inlineStr">
        <is>
          <t>ARC-01</t>
        </is>
      </c>
      <c r="B7" s="5" t="inlineStr">
        <is>
          <t>Architecture and section</t>
        </is>
      </c>
      <c r="C7" s="6" t="inlineStr">
        <is>
          <t>A</t>
        </is>
      </c>
      <c r="D7" s="7" t="inlineStr">
        <is>
          <t>Y</t>
        </is>
      </c>
      <c r="E7" s="5" t="inlineStr">
        <is>
          <t>Provide a section drawing showing outer lite, cavity/chamber, PV blind location, actuator location, feedthrough route, and replaceable boundaries.</t>
        </is>
      </c>
      <c r="F7" s="5" t="inlineStr">
        <is>
          <t>This is the master closure item for thermal path, moisture path, service boundary, and electrical exits.</t>
        </is>
      </c>
      <c r="G7" s="5" t="inlineStr">
        <is>
          <t>Section drawing</t>
        </is>
      </c>
      <c r="H7" s="5" t="inlineStr">
        <is>
          <t>Drawing PDF/DWG with dimensions, callouts, revision/date</t>
        </is>
      </c>
      <c r="I7" s="5" t="inlineStr">
        <is>
          <t>S01,S02,S13,S19</t>
        </is>
      </c>
      <c r="J7" s="5" t="inlineStr">
        <is>
          <t>A04,A05,A07</t>
        </is>
      </c>
      <c r="K7" s="8" t="inlineStr"/>
      <c r="L7" s="8" t="inlineStr"/>
      <c r="M7" s="8" t="inlineStr"/>
      <c r="N7" s="8" t="inlineStr"/>
      <c r="O7" s="8" t="inlineStr"/>
      <c r="P7" s="9" t="inlineStr"/>
    </row>
    <row r="8">
      <c r="A8" s="5" t="inlineStr">
        <is>
          <t>ARC-02</t>
        </is>
      </c>
      <c r="B8" s="5" t="inlineStr">
        <is>
          <t>Architecture and section</t>
        </is>
      </c>
      <c r="C8" s="6" t="inlineStr">
        <is>
          <t>A</t>
        </is>
      </c>
      <c r="D8" s="7" t="inlineStr">
        <is>
          <t>Y</t>
        </is>
      </c>
      <c r="E8" s="5" t="inlineStr">
        <is>
          <t>State whether the PV blind sits in the main IGU cavity or in a dedicated chamber, and quantify cavity/chamber dimensions and gas/fill assumptions.</t>
        </is>
      </c>
      <c r="F8" s="5" t="inlineStr">
        <is>
          <t>Directly affects temperature, condensation risk, and optical assumptions.</t>
        </is>
      </c>
      <c r="G8" s="5" t="inlineStr">
        <is>
          <t>Structured table</t>
        </is>
      </c>
      <c r="H8" s="5" t="inlineStr">
        <is>
          <t>Section dimensions, gas or venting description, spacer concept</t>
        </is>
      </c>
      <c r="I8" s="5" t="inlineStr">
        <is>
          <t>S02,S11,S17</t>
        </is>
      </c>
      <c r="J8" s="5" t="inlineStr">
        <is>
          <t>A04</t>
        </is>
      </c>
      <c r="K8" s="8" t="inlineStr"/>
      <c r="L8" s="8" t="inlineStr"/>
      <c r="M8" s="8" t="inlineStr"/>
      <c r="N8" s="8" t="inlineStr"/>
      <c r="O8" s="8" t="inlineStr"/>
      <c r="P8" s="9" t="inlineStr"/>
    </row>
    <row r="9">
      <c r="A9" s="5" t="inlineStr">
        <is>
          <t>ARC-03</t>
        </is>
      </c>
      <c r="B9" s="5" t="inlineStr">
        <is>
          <t>Architecture and section</t>
        </is>
      </c>
      <c r="C9" s="6" t="inlineStr">
        <is>
          <t>A</t>
        </is>
      </c>
      <c r="D9" s="7" t="inlineStr">
        <is>
          <t>Y</t>
        </is>
      </c>
      <c r="E9" s="5" t="inlineStr">
        <is>
          <t>Define the smallest independently replaceable unit for glazing, blind cassette, actuator, local electronics, and feedthrough hardware.</t>
        </is>
      </c>
      <c r="F9" s="5" t="inlineStr">
        <is>
          <t>Needed to estimate downtime, spares, and façade intervention size.</t>
        </is>
      </c>
      <c r="G9" s="5" t="inlineStr">
        <is>
          <t>Boundary table + diagram</t>
        </is>
      </c>
      <c r="H9" s="5" t="inlineStr">
        <is>
          <t>Replacement procedure excerpt, service drawing</t>
        </is>
      </c>
      <c r="I9" s="5" t="inlineStr">
        <is>
          <t>S19</t>
        </is>
      </c>
      <c r="J9" s="5" t="inlineStr">
        <is>
          <t>A07,A10</t>
        </is>
      </c>
      <c r="K9" s="8" t="inlineStr"/>
      <c r="L9" s="8" t="inlineStr"/>
      <c r="M9" s="8" t="inlineStr"/>
      <c r="N9" s="8" t="inlineStr"/>
      <c r="O9" s="8" t="inlineStr"/>
      <c r="P9" s="9" t="inlineStr"/>
    </row>
    <row r="10">
      <c r="A10" s="5" t="inlineStr">
        <is>
          <t>ARC-04</t>
        </is>
      </c>
      <c r="B10" s="5" t="inlineStr">
        <is>
          <t>Architecture and section</t>
        </is>
      </c>
      <c r="C10" s="6" t="inlineStr">
        <is>
          <t>A</t>
        </is>
      </c>
      <c r="D10" s="7" t="inlineStr">
        <is>
          <t>Y</t>
        </is>
      </c>
      <c r="E10" s="5" t="inlineStr">
        <is>
          <t>State whether actuation is local per window, per cassette, per mullion group, or centralized across multiple windows.</t>
        </is>
      </c>
      <c r="F10" s="5" t="inlineStr">
        <is>
          <t>Changes wiring, diagnostics, controls, and common-cause failure risk.</t>
        </is>
      </c>
      <c r="G10" s="5" t="inlineStr">
        <is>
          <t>Architecture note + block diagram</t>
        </is>
      </c>
      <c r="H10" s="5" t="inlineStr">
        <is>
          <t>Control architecture drawing, power budget</t>
        </is>
      </c>
      <c r="I10" s="5" t="inlineStr">
        <is>
          <t>S12,S19</t>
        </is>
      </c>
      <c r="J10" s="5" t="inlineStr">
        <is>
          <t>A06</t>
        </is>
      </c>
      <c r="K10" s="8" t="inlineStr"/>
      <c r="L10" s="8" t="inlineStr"/>
      <c r="M10" s="8" t="inlineStr"/>
      <c r="N10" s="8" t="inlineStr"/>
      <c r="O10" s="8" t="inlineStr"/>
      <c r="P10" s="9" t="inlineStr"/>
    </row>
    <row r="11">
      <c r="A11" s="3" t="inlineStr">
        <is>
          <t>ARC-05</t>
        </is>
      </c>
      <c r="B11" s="3" t="inlineStr">
        <is>
          <t>Architecture and section</t>
        </is>
      </c>
      <c r="C11" s="3" t="inlineStr">
        <is>
          <t>B</t>
        </is>
      </c>
      <c r="D11" s="3" t="inlineStr">
        <is>
          <t>N</t>
        </is>
      </c>
      <c r="E11" s="3" t="inlineStr">
        <is>
          <t>List façade integration constraints that materially affect performance or qualification (orientation, mullion depth, cavity spacing, frame material, installation tolerances).</t>
        </is>
      </c>
      <c r="F11" s="3" t="inlineStr">
        <is>
          <t>Needed so yield and thermal claims are not detached from the install context.</t>
        </is>
      </c>
      <c r="G11" s="3" t="inlineStr">
        <is>
          <t>Constraint table</t>
        </is>
      </c>
      <c r="H11" s="3" t="inlineStr">
        <is>
          <t>Installation manual extracts, tolerance table</t>
        </is>
      </c>
      <c r="I11" s="3" t="inlineStr">
        <is>
          <t>S02,S11,S17</t>
        </is>
      </c>
      <c r="J11" s="3" t="inlineStr"/>
      <c r="K11" s="10" t="inlineStr"/>
      <c r="L11" s="10" t="inlineStr"/>
      <c r="M11" s="10" t="inlineStr"/>
      <c r="N11" s="10" t="inlineStr"/>
      <c r="O11" s="10" t="inlineStr"/>
      <c r="P11" s="11" t="inlineStr"/>
    </row>
    <row r="12">
      <c r="A12" s="3" t="inlineStr">
        <is>
          <t>ARC-06</t>
        </is>
      </c>
      <c r="B12" s="3" t="inlineStr">
        <is>
          <t>Architecture and section</t>
        </is>
      </c>
      <c r="C12" s="3" t="inlineStr">
        <is>
          <t>B</t>
        </is>
      </c>
      <c r="D12" s="3" t="inlineStr">
        <is>
          <t>N</t>
        </is>
      </c>
      <c r="E12" s="3" t="inlineStr">
        <is>
          <t>Describe drainage, condensation, and moisture-management paths relevant to the blind, feedthrough, and frame interfaces.</t>
        </is>
      </c>
      <c r="F12" s="3" t="inlineStr">
        <is>
          <t>Moisture path discipline is central in enclosed moving PV assemblies.</t>
        </is>
      </c>
      <c r="G12" s="3" t="inlineStr">
        <is>
          <t>Narrative + detail sketch</t>
        </is>
      </c>
      <c r="H12" s="3" t="inlineStr">
        <is>
          <t>Detail drawing, seal concept, inspection points</t>
        </is>
      </c>
      <c r="I12" s="3" t="inlineStr">
        <is>
          <t>S13,S19</t>
        </is>
      </c>
      <c r="J12" s="3" t="inlineStr">
        <is>
          <t>A05,A10</t>
        </is>
      </c>
      <c r="K12" s="10" t="inlineStr"/>
      <c r="L12" s="10" t="inlineStr"/>
      <c r="M12" s="10" t="inlineStr"/>
      <c r="N12" s="10" t="inlineStr"/>
      <c r="O12" s="10" t="inlineStr"/>
      <c r="P12" s="11" t="inlineStr"/>
    </row>
    <row r="13">
      <c r="A13" s="5" t="inlineStr">
        <is>
          <t>ELE-01</t>
        </is>
      </c>
      <c r="B13" s="5" t="inlineStr">
        <is>
          <t>PV element and ratings</t>
        </is>
      </c>
      <c r="C13" s="6" t="inlineStr">
        <is>
          <t>A</t>
        </is>
      </c>
      <c r="D13" s="7" t="inlineStr">
        <is>
          <t>Y</t>
        </is>
      </c>
      <c r="E13" s="5" t="inlineStr">
        <is>
          <t>Provide the electrical datasheet for one offered window unit: Pmax, Voc, Vmp, Isc, Imp, temperature coefficients, NOCT or equivalent, maximum system voltage, and polarity conventions.</t>
        </is>
      </c>
      <c r="F13" s="5" t="inlineStr">
        <is>
          <t>No architecture screening is credible without the actual unit electrical envelope.</t>
        </is>
      </c>
      <c r="G13" s="5" t="inlineStr">
        <is>
          <t>Datasheet table</t>
        </is>
      </c>
      <c r="H13" s="5" t="inlineStr">
        <is>
          <t>Datasheet or qualified test report</t>
        </is>
      </c>
      <c r="I13" s="5" t="inlineStr">
        <is>
          <t>S03,S04,S05,S16</t>
        </is>
      </c>
      <c r="J13" s="5" t="inlineStr">
        <is>
          <t>A03</t>
        </is>
      </c>
      <c r="K13" s="8" t="inlineStr"/>
      <c r="L13" s="8" t="inlineStr"/>
      <c r="M13" s="8" t="inlineStr"/>
      <c r="N13" s="8" t="inlineStr"/>
      <c r="O13" s="8" t="inlineStr"/>
      <c r="P13" s="9" t="inlineStr"/>
    </row>
    <row r="14">
      <c r="A14" s="5" t="inlineStr">
        <is>
          <t>ELE-02</t>
        </is>
      </c>
      <c r="B14" s="5" t="inlineStr">
        <is>
          <t>PV element and ratings</t>
        </is>
      </c>
      <c r="C14" s="6" t="inlineStr">
        <is>
          <t>A</t>
        </is>
      </c>
      <c r="D14" s="7" t="inlineStr">
        <is>
          <t>Y</t>
        </is>
      </c>
      <c r="E14" s="5" t="inlineStr">
        <is>
          <t>State the actual PV technology and stack used in the offered product revision, including chemistry/family, active-area fraction, and any technology-dependent constraints.</t>
        </is>
      </c>
      <c r="F14" s="5" t="inlineStr">
        <is>
          <t>The public clue 'thin-film' is insufficient for qualification, temperature, and degradation analysis.</t>
        </is>
      </c>
      <c r="G14" s="5" t="inlineStr">
        <is>
          <t>Technology declaration</t>
        </is>
      </c>
      <c r="H14" s="5" t="inlineStr">
        <is>
          <t>Manufacturer statement, cell/module datasheet, qualification path</t>
        </is>
      </c>
      <c r="I14" s="5" t="inlineStr">
        <is>
          <t>S08,S09,S10</t>
        </is>
      </c>
      <c r="J14" s="5" t="inlineStr">
        <is>
          <t>A03</t>
        </is>
      </c>
      <c r="K14" s="8" t="inlineStr"/>
      <c r="L14" s="8" t="inlineStr"/>
      <c r="M14" s="8" t="inlineStr"/>
      <c r="N14" s="8" t="inlineStr"/>
      <c r="O14" s="8" t="inlineStr"/>
      <c r="P14" s="9" t="inlineStr"/>
    </row>
    <row r="15">
      <c r="A15" s="5" t="inlineStr">
        <is>
          <t>ELE-03</t>
        </is>
      </c>
      <c r="B15" s="5" t="inlineStr">
        <is>
          <t>PV element and ratings</t>
        </is>
      </c>
      <c r="C15" s="6" t="inlineStr">
        <is>
          <t>A</t>
        </is>
      </c>
      <c r="D15" s="7" t="inlineStr">
        <is>
          <t>Y</t>
        </is>
      </c>
      <c r="E15" s="5" t="inlineStr">
        <is>
          <t>Provide the internal electrical subdivision of one unit: number of slats, active slats, substrings/strings per slat or per zone, and the interconnection diagram.</t>
        </is>
      </c>
      <c r="F15" s="5" t="inlineStr">
        <is>
          <t>This is required for mismatch modeling and fault localization.</t>
        </is>
      </c>
      <c r="G15" s="5" t="inlineStr">
        <is>
          <t>Interconnect drawing + table</t>
        </is>
      </c>
      <c r="H15" s="5" t="inlineStr">
        <is>
          <t>Schematic, harness drawing, string map</t>
        </is>
      </c>
      <c r="I15" s="5" t="inlineStr">
        <is>
          <t>S03,S04,S16</t>
        </is>
      </c>
      <c r="J15" s="5" t="inlineStr"/>
      <c r="K15" s="8" t="inlineStr"/>
      <c r="L15" s="8" t="inlineStr"/>
      <c r="M15" s="8" t="inlineStr"/>
      <c r="N15" s="8" t="inlineStr"/>
      <c r="O15" s="8" t="inlineStr"/>
      <c r="P15" s="9" t="inlineStr"/>
    </row>
    <row r="16">
      <c r="A16" s="5" t="inlineStr">
        <is>
          <t>ELE-04</t>
        </is>
      </c>
      <c r="B16" s="5" t="inlineStr">
        <is>
          <t>PV element and ratings</t>
        </is>
      </c>
      <c r="C16" s="6" t="inlineStr">
        <is>
          <t>A</t>
        </is>
      </c>
      <c r="D16" s="7" t="inlineStr">
        <is>
          <t>Y</t>
        </is>
      </c>
      <c r="E16" s="5" t="inlineStr">
        <is>
          <t>Provide the bypass topology and exact allocation: one diode per string, per substring, shared between strings, or another arrangement.</t>
        </is>
      </c>
      <c r="F16" s="5" t="inlineStr">
        <is>
          <t>Bypass allocation is a first-order performance and hot-spot risk variable for this product class.</t>
        </is>
      </c>
      <c r="G16" s="5" t="inlineStr">
        <is>
          <t>Topology note + schematic</t>
        </is>
      </c>
      <c r="H16" s="5" t="inlineStr">
        <is>
          <t>Schematic, part numbers, diode ratings</t>
        </is>
      </c>
      <c r="I16" s="5" t="inlineStr">
        <is>
          <t>S03,S04,S09</t>
        </is>
      </c>
      <c r="J16" s="5" t="inlineStr"/>
      <c r="K16" s="8" t="inlineStr"/>
      <c r="L16" s="8" t="inlineStr"/>
      <c r="M16" s="8" t="inlineStr"/>
      <c r="N16" s="8" t="inlineStr"/>
      <c r="O16" s="8" t="inlineStr"/>
      <c r="P16" s="9" t="inlineStr"/>
    </row>
    <row r="17">
      <c r="A17" s="5" t="inlineStr">
        <is>
          <t>ELE-05</t>
        </is>
      </c>
      <c r="B17" s="5" t="inlineStr">
        <is>
          <t>PV element and ratings</t>
        </is>
      </c>
      <c r="C17" s="6" t="inlineStr">
        <is>
          <t>A</t>
        </is>
      </c>
      <c r="D17" s="7" t="inlineStr">
        <is>
          <t>Y</t>
        </is>
      </c>
      <c r="E17" s="5" t="inlineStr">
        <is>
          <t>Provide representative I–V and P–V curves for the actual product at multiple irradiance and temperature points, including at least one partial-shading or angle-dependent case.</t>
        </is>
      </c>
      <c r="F17" s="5" t="inlineStr">
        <is>
          <t>Needed to validate MPPT compatibility and mismatch assumptions.</t>
        </is>
      </c>
      <c r="G17" s="5" t="inlineStr">
        <is>
          <t>Plots + raw numeric table</t>
        </is>
      </c>
      <c r="H17" s="5" t="inlineStr">
        <is>
          <t>Test report, CSV, model basis</t>
        </is>
      </c>
      <c r="I17" s="5" t="inlineStr">
        <is>
          <t>S05,S16,S17</t>
        </is>
      </c>
      <c r="J17" s="5" t="inlineStr"/>
      <c r="K17" s="8" t="inlineStr"/>
      <c r="L17" s="8" t="inlineStr"/>
      <c r="M17" s="8" t="inlineStr"/>
      <c r="N17" s="8" t="inlineStr"/>
      <c r="O17" s="8" t="inlineStr"/>
      <c r="P17" s="9" t="inlineStr"/>
    </row>
    <row r="18">
      <c r="A18" s="5" t="inlineStr">
        <is>
          <t>ELE-06</t>
        </is>
      </c>
      <c r="B18" s="5" t="inlineStr">
        <is>
          <t>PV element and ratings</t>
        </is>
      </c>
      <c r="C18" s="6" t="inlineStr">
        <is>
          <t>A</t>
        </is>
      </c>
      <c r="D18" s="7" t="inlineStr">
        <is>
          <t>Y</t>
        </is>
      </c>
      <c r="E18" s="5" t="inlineStr">
        <is>
          <t>State the allowed series and parallel aggregation limits and the design rule used to derive them.</t>
        </is>
      </c>
      <c r="F18" s="5" t="inlineStr">
        <is>
          <t>Required for Voc,max/Isc,max and for preventing unsafe or nonfunctional stringing.</t>
        </is>
      </c>
      <c r="G18" s="5" t="inlineStr">
        <is>
          <t>Aggregation rules table</t>
        </is>
      </c>
      <c r="H18" s="5" t="inlineStr">
        <is>
          <t>Application note or electrical manual</t>
        </is>
      </c>
      <c r="I18" s="5" t="inlineStr">
        <is>
          <t>S03,S04,S05</t>
        </is>
      </c>
      <c r="J18" s="5" t="inlineStr"/>
      <c r="K18" s="8" t="inlineStr"/>
      <c r="L18" s="8" t="inlineStr"/>
      <c r="M18" s="8" t="inlineStr"/>
      <c r="N18" s="8" t="inlineStr"/>
      <c r="O18" s="8" t="inlineStr"/>
      <c r="P18" s="9" t="inlineStr"/>
    </row>
    <row r="19">
      <c r="A19" s="5" t="inlineStr">
        <is>
          <t>ELE-07</t>
        </is>
      </c>
      <c r="B19" s="5" t="inlineStr">
        <is>
          <t>PV element and ratings</t>
        </is>
      </c>
      <c r="C19" s="6" t="inlineStr">
        <is>
          <t>A</t>
        </is>
      </c>
      <c r="D19" s="7" t="inlineStr">
        <is>
          <t>Y</t>
        </is>
      </c>
      <c r="E19" s="5" t="inlineStr">
        <is>
          <t>State the required downstream power-conversion architecture: direct stringing, optimizer-based, modular AC, or other. Identify any architectures that are explicitly not allowed.</t>
        </is>
      </c>
      <c r="F19" s="5" t="inlineStr">
        <is>
          <t>Avoids wasting time on architectures the product cannot support.</t>
        </is>
      </c>
      <c r="G19" s="5" t="inlineStr">
        <is>
          <t>Architecture note</t>
        </is>
      </c>
      <c r="H19" s="5" t="inlineStr">
        <is>
          <t>Design manual extract, supported topologies list</t>
        </is>
      </c>
      <c r="I19" s="5" t="inlineStr">
        <is>
          <t>S05,S12</t>
        </is>
      </c>
      <c r="J19" s="5" t="inlineStr"/>
      <c r="K19" s="8" t="inlineStr"/>
      <c r="L19" s="8" t="inlineStr"/>
      <c r="M19" s="8" t="inlineStr"/>
      <c r="N19" s="8" t="inlineStr"/>
      <c r="O19" s="8" t="inlineStr"/>
      <c r="P19" s="9" t="inlineStr"/>
    </row>
    <row r="20">
      <c r="A20" s="5" t="inlineStr">
        <is>
          <t>ELE-08</t>
        </is>
      </c>
      <c r="B20" s="5" t="inlineStr">
        <is>
          <t>PV element and ratings</t>
        </is>
      </c>
      <c r="C20" s="6" t="inlineStr">
        <is>
          <t>A</t>
        </is>
      </c>
      <c r="D20" s="7" t="inlineStr">
        <is>
          <t>Y</t>
        </is>
      </c>
      <c r="E20" s="5" t="inlineStr">
        <is>
          <t>Define the disconnect and isolation boundary for safe maintenance, fault finding, and unit replacement.</t>
        </is>
      </c>
      <c r="F20" s="5" t="inlineStr">
        <is>
          <t>This is a go/no-go serviceability and safety item.</t>
        </is>
      </c>
      <c r="G20" s="5" t="inlineStr">
        <is>
          <t>Single-line + service note</t>
        </is>
      </c>
      <c r="H20" s="5" t="inlineStr">
        <is>
          <t>Single-line diagram, isolation procedure, lockout note</t>
        </is>
      </c>
      <c r="I20" s="5" t="inlineStr">
        <is>
          <t>S06,S18,S19</t>
        </is>
      </c>
      <c r="J20" s="5" t="inlineStr">
        <is>
          <t>A07</t>
        </is>
      </c>
      <c r="K20" s="8" t="inlineStr"/>
      <c r="L20" s="8" t="inlineStr"/>
      <c r="M20" s="8" t="inlineStr"/>
      <c r="N20" s="8" t="inlineStr"/>
      <c r="O20" s="8" t="inlineStr"/>
      <c r="P20" s="9" t="inlineStr"/>
    </row>
    <row r="21">
      <c r="A21" s="5" t="inlineStr">
        <is>
          <t>ELE-09</t>
        </is>
      </c>
      <c r="B21" s="5" t="inlineStr">
        <is>
          <t>PV element and ratings</t>
        </is>
      </c>
      <c r="C21" s="6" t="inlineStr">
        <is>
          <t>A</t>
        </is>
      </c>
      <c r="D21" s="7" t="inlineStr">
        <is>
          <t>Y</t>
        </is>
      </c>
      <c r="E21" s="5" t="inlineStr">
        <is>
          <t>State the earthing, insulation monitoring, and ground-fault or leakage-fault handling concept expected by the vendor.</t>
        </is>
      </c>
      <c r="F21" s="5" t="inlineStr">
        <is>
          <t>Needed to match inverter/PCE choice and site safety design.</t>
        </is>
      </c>
      <c r="G21" s="5" t="inlineStr">
        <is>
          <t>Protection concept note</t>
        </is>
      </c>
      <c r="H21" s="5" t="inlineStr">
        <is>
          <t>Electrical manual, example single-line, monitoring requirements</t>
        </is>
      </c>
      <c r="I21" s="5" t="inlineStr">
        <is>
          <t>S07,S12</t>
        </is>
      </c>
      <c r="J21" s="5" t="inlineStr"/>
      <c r="K21" s="8" t="inlineStr"/>
      <c r="L21" s="8" t="inlineStr"/>
      <c r="M21" s="8" t="inlineStr"/>
      <c r="N21" s="8" t="inlineStr"/>
      <c r="O21" s="8" t="inlineStr"/>
      <c r="P21" s="9" t="inlineStr"/>
    </row>
    <row r="22">
      <c r="A22" s="5" t="inlineStr">
        <is>
          <t>ELE-10</t>
        </is>
      </c>
      <c r="B22" s="5" t="inlineStr">
        <is>
          <t>PV element and ratings</t>
        </is>
      </c>
      <c r="C22" s="6" t="inlineStr">
        <is>
          <t>A</t>
        </is>
      </c>
      <c r="D22" s="7" t="inlineStr">
        <is>
          <t>Y</t>
        </is>
      </c>
      <c r="E22" s="5" t="inlineStr">
        <is>
          <t>Provide frame-feedthrough details: electrical rating, dielectric path, creepage/clearance basis, strain relief, bend control, and environmental sealing.</t>
        </is>
      </c>
      <c r="F22" s="5" t="inlineStr">
        <is>
          <t>Feedthroughs are one of the highest-risk hidden interfaces in the product.</t>
        </is>
      </c>
      <c r="G22" s="5" t="inlineStr">
        <is>
          <t>Detail drawing + component table</t>
        </is>
      </c>
      <c r="H22" s="5" t="inlineStr">
        <is>
          <t>Feedthrough drawing, qualification/test basis, part numbers</t>
        </is>
      </c>
      <c r="I22" s="5" t="inlineStr">
        <is>
          <t>S13,S14,S15</t>
        </is>
      </c>
      <c r="J22" s="5" t="inlineStr">
        <is>
          <t>A05,A09</t>
        </is>
      </c>
      <c r="K22" s="8" t="inlineStr"/>
      <c r="L22" s="8" t="inlineStr"/>
      <c r="M22" s="8" t="inlineStr"/>
      <c r="N22" s="8" t="inlineStr"/>
      <c r="O22" s="8" t="inlineStr"/>
      <c r="P22" s="9" t="inlineStr"/>
    </row>
    <row r="23">
      <c r="A23" s="5" t="inlineStr">
        <is>
          <t>ELE-11</t>
        </is>
      </c>
      <c r="B23" s="5" t="inlineStr">
        <is>
          <t>PV element and ratings</t>
        </is>
      </c>
      <c r="C23" s="6" t="inlineStr">
        <is>
          <t>A</t>
        </is>
      </c>
      <c r="D23" s="7" t="inlineStr">
        <is>
          <t>Y</t>
        </is>
      </c>
      <c r="E23" s="5" t="inlineStr">
        <is>
          <t>Provide the approved DC connector family, mating restrictions, and prohibited connector combinations.</t>
        </is>
      </c>
      <c r="F23" s="5" t="inlineStr">
        <is>
          <t>Connector incompatibility is a recurrent PV failure source and must be controlled contractually.</t>
        </is>
      </c>
      <c r="G23" s="5" t="inlineStr">
        <is>
          <t>Connector schedule</t>
        </is>
      </c>
      <c r="H23" s="5" t="inlineStr">
        <is>
          <t>Part numbers, ratings, installation instructions</t>
        </is>
      </c>
      <c r="I23" s="5" t="inlineStr">
        <is>
          <t>S14</t>
        </is>
      </c>
      <c r="J23" s="5" t="inlineStr">
        <is>
          <t>A09</t>
        </is>
      </c>
      <c r="K23" s="8" t="inlineStr"/>
      <c r="L23" s="8" t="inlineStr"/>
      <c r="M23" s="8" t="inlineStr"/>
      <c r="N23" s="8" t="inlineStr"/>
      <c r="O23" s="8" t="inlineStr"/>
      <c r="P23" s="9" t="inlineStr"/>
    </row>
    <row r="24">
      <c r="A24" s="5" t="inlineStr">
        <is>
          <t>ELE-12</t>
        </is>
      </c>
      <c r="B24" s="5" t="inlineStr">
        <is>
          <t>PV element and ratings</t>
        </is>
      </c>
      <c r="C24" s="6" t="inlineStr">
        <is>
          <t>A</t>
        </is>
      </c>
      <c r="D24" s="7" t="inlineStr">
        <is>
          <t>Y</t>
        </is>
      </c>
      <c r="E24" s="5" t="inlineStr">
        <is>
          <t>Provide the approved cable class, insulation type, temperature rating, voltage rating, minimum bend radius, and route limitations near moving parts or warm frame zones.</t>
        </is>
      </c>
      <c r="F24" s="5" t="inlineStr">
        <is>
          <t>Needed to prevent hidden fatigue and thermal derating errors.</t>
        </is>
      </c>
      <c r="G24" s="5" t="inlineStr">
        <is>
          <t>Cable schedule</t>
        </is>
      </c>
      <c r="H24" s="5" t="inlineStr">
        <is>
          <t>Cable datasheet, route note, installation limits</t>
        </is>
      </c>
      <c r="I24" s="5" t="inlineStr">
        <is>
          <t>S15,S19</t>
        </is>
      </c>
      <c r="J24" s="5" t="inlineStr">
        <is>
          <t>A09</t>
        </is>
      </c>
      <c r="K24" s="8" t="inlineStr"/>
      <c r="L24" s="8" t="inlineStr"/>
      <c r="M24" s="8" t="inlineStr"/>
      <c r="N24" s="8" t="inlineStr"/>
      <c r="O24" s="8" t="inlineStr"/>
      <c r="P24" s="9" t="inlineStr"/>
    </row>
    <row r="25">
      <c r="A25" s="3" t="inlineStr">
        <is>
          <t>ELE-13</t>
        </is>
      </c>
      <c r="B25" s="3" t="inlineStr">
        <is>
          <t>PV element and ratings</t>
        </is>
      </c>
      <c r="C25" s="3" t="inlineStr">
        <is>
          <t>B</t>
        </is>
      </c>
      <c r="D25" s="3" t="inlineStr">
        <is>
          <t>N</t>
        </is>
      </c>
      <c r="E25" s="3" t="inlineStr">
        <is>
          <t>State whether reverse-current protection, string fusing, SPDs, and surge/ESD measures are required or prohibited at the unit or group level.</t>
        </is>
      </c>
      <c r="F25" s="3" t="inlineStr">
        <is>
          <t>Clarifies BOS responsibilities and avoids unsafe default assumptions.</t>
        </is>
      </c>
      <c r="G25" s="3" t="inlineStr">
        <is>
          <t>Protection responsibility matrix</t>
        </is>
      </c>
      <c r="H25" s="3" t="inlineStr">
        <is>
          <t>Application note, single-line examples</t>
        </is>
      </c>
      <c r="I25" s="3" t="inlineStr">
        <is>
          <t>S06,S07</t>
        </is>
      </c>
      <c r="J25" s="3" t="inlineStr"/>
      <c r="K25" s="10" t="inlineStr"/>
      <c r="L25" s="10" t="inlineStr"/>
      <c r="M25" s="10" t="inlineStr"/>
      <c r="N25" s="10" t="inlineStr"/>
      <c r="O25" s="10" t="inlineStr"/>
      <c r="P25" s="11" t="inlineStr"/>
    </row>
    <row r="26">
      <c r="A26" s="3" t="inlineStr">
        <is>
          <t>ELE-14</t>
        </is>
      </c>
      <c r="B26" s="3" t="inlineStr">
        <is>
          <t>PV element and ratings</t>
        </is>
      </c>
      <c r="C26" s="3" t="inlineStr">
        <is>
          <t>B</t>
        </is>
      </c>
      <c r="D26" s="3" t="inlineStr">
        <is>
          <t>N</t>
        </is>
      </c>
      <c r="E26" s="3" t="inlineStr">
        <is>
          <t>Provide expected electrical signatures for common faults such as bypass failure, open substring, loss of isolation, or wrong polarity after replacement.</t>
        </is>
      </c>
      <c r="F26" s="3" t="inlineStr">
        <is>
          <t>Improves commissioning scripts and remote diagnostics.</t>
        </is>
      </c>
      <c r="G26" s="3" t="inlineStr">
        <is>
          <t>Fault-signature table</t>
        </is>
      </c>
      <c r="H26" s="3" t="inlineStr">
        <is>
          <t>Diagnostic guide, event mapping, test data</t>
        </is>
      </c>
      <c r="I26" s="3" t="inlineStr">
        <is>
          <t>S18,S19,S20</t>
        </is>
      </c>
      <c r="J26" s="3" t="inlineStr"/>
      <c r="K26" s="10" t="inlineStr"/>
      <c r="L26" s="10" t="inlineStr"/>
      <c r="M26" s="10" t="inlineStr"/>
      <c r="N26" s="10" t="inlineStr"/>
      <c r="O26" s="10" t="inlineStr"/>
      <c r="P26" s="11" t="inlineStr"/>
    </row>
    <row r="27">
      <c r="A27" s="5" t="inlineStr">
        <is>
          <t>CTL-01</t>
        </is>
      </c>
      <c r="B27" s="5" t="inlineStr">
        <is>
          <t>Controls and interfaces</t>
        </is>
      </c>
      <c r="C27" s="6" t="inlineStr">
        <is>
          <t>A</t>
        </is>
      </c>
      <c r="D27" s="7" t="inlineStr">
        <is>
          <t>Y</t>
        </is>
      </c>
      <c r="E27" s="5" t="inlineStr">
        <is>
          <t>Provide the controls architecture: local controller location, communication protocol(s), power supply requirements, and BMS/SCADA integration boundary.</t>
        </is>
      </c>
      <c r="F27" s="5" t="inlineStr">
        <is>
          <t>Controls determine both optical behavior and operational maintainability.</t>
        </is>
      </c>
      <c r="G27" s="5" t="inlineStr">
        <is>
          <t>Block diagram + I/O summary</t>
        </is>
      </c>
      <c r="H27" s="5" t="inlineStr">
        <is>
          <t>Controls architecture drawing, protocol spec</t>
        </is>
      </c>
      <c r="I27" s="5" t="inlineStr">
        <is>
          <t>S12,S18,S19</t>
        </is>
      </c>
      <c r="J27" s="5" t="inlineStr">
        <is>
          <t>A06</t>
        </is>
      </c>
      <c r="K27" s="8" t="inlineStr"/>
      <c r="L27" s="8" t="inlineStr"/>
      <c r="M27" s="8" t="inlineStr"/>
      <c r="N27" s="8" t="inlineStr"/>
      <c r="O27" s="8" t="inlineStr"/>
      <c r="P27" s="9" t="inlineStr"/>
    </row>
    <row r="28">
      <c r="A28" s="5" t="inlineStr">
        <is>
          <t>CTL-02</t>
        </is>
      </c>
      <c r="B28" s="5" t="inlineStr">
        <is>
          <t>Controls and interfaces</t>
        </is>
      </c>
      <c r="C28" s="6" t="inlineStr">
        <is>
          <t>A</t>
        </is>
      </c>
      <c r="D28" s="7" t="inlineStr">
        <is>
          <t>Y</t>
        </is>
      </c>
      <c r="E28" s="5" t="inlineStr">
        <is>
          <t>Provide the point list for all measured and commanded signals: slat angle, actuator status, fault state, temperature, irradiance/light, occupancy, and communication health.</t>
        </is>
      </c>
      <c r="F28" s="5" t="inlineStr">
        <is>
          <t>Needed to verify observability and close the monitoring baseline.</t>
        </is>
      </c>
      <c r="G28" s="5" t="inlineStr">
        <is>
          <t>Point list table</t>
        </is>
      </c>
      <c r="H28" s="5" t="inlineStr">
        <is>
          <t>BMS/controls I/O list, Modbus/BACnet map</t>
        </is>
      </c>
      <c r="I28" s="5" t="inlineStr">
        <is>
          <t>S18,S19</t>
        </is>
      </c>
      <c r="J28" s="5" t="inlineStr">
        <is>
          <t>A08</t>
        </is>
      </c>
      <c r="K28" s="8" t="inlineStr"/>
      <c r="L28" s="8" t="inlineStr"/>
      <c r="M28" s="8" t="inlineStr"/>
      <c r="N28" s="8" t="inlineStr"/>
      <c r="O28" s="8" t="inlineStr"/>
      <c r="P28" s="9" t="inlineStr"/>
    </row>
    <row r="29">
      <c r="A29" s="5" t="inlineStr">
        <is>
          <t>CTL-03</t>
        </is>
      </c>
      <c r="B29" s="5" t="inlineStr">
        <is>
          <t>Controls and interfaces</t>
        </is>
      </c>
      <c r="C29" s="6" t="inlineStr">
        <is>
          <t>A</t>
        </is>
      </c>
      <c r="D29" s="7" t="inlineStr">
        <is>
          <t>Y</t>
        </is>
      </c>
      <c r="E29" s="5" t="inlineStr">
        <is>
          <t>Provide actuator electrical and mechanical data: voltage, current, inrush, torque margin, duty cycle, travel time, angle resolution, and rated lifetime cycles.</t>
        </is>
      </c>
      <c r="F29" s="5" t="inlineStr">
        <is>
          <t>This is required for power sizing and reliability review.</t>
        </is>
      </c>
      <c r="G29" s="5" t="inlineStr">
        <is>
          <t>Actuator datasheet table</t>
        </is>
      </c>
      <c r="H29" s="5" t="inlineStr">
        <is>
          <t>Actuator datasheet, qualification report</t>
        </is>
      </c>
      <c r="I29" s="5" t="inlineStr">
        <is>
          <t>S12,S19</t>
        </is>
      </c>
      <c r="J29" s="5" t="inlineStr">
        <is>
          <t>A06</t>
        </is>
      </c>
      <c r="K29" s="8" t="inlineStr"/>
      <c r="L29" s="8" t="inlineStr"/>
      <c r="M29" s="8" t="inlineStr"/>
      <c r="N29" s="8" t="inlineStr"/>
      <c r="O29" s="8" t="inlineStr"/>
      <c r="P29" s="9" t="inlineStr"/>
    </row>
    <row r="30">
      <c r="A30" s="5" t="inlineStr">
        <is>
          <t>CTL-04</t>
        </is>
      </c>
      <c r="B30" s="5" t="inlineStr">
        <is>
          <t>Controls and interfaces</t>
        </is>
      </c>
      <c r="C30" s="6" t="inlineStr">
        <is>
          <t>A</t>
        </is>
      </c>
      <c r="D30" s="7" t="inlineStr">
        <is>
          <t>Y</t>
        </is>
      </c>
      <c r="E30" s="5" t="inlineStr">
        <is>
          <t>State the angle-feedback method and the guaranteed error between commanded angle and actual angle over life and temperature.</t>
        </is>
      </c>
      <c r="F30" s="5" t="inlineStr">
        <is>
          <t>Angle mismatch directly degrades glare control, heat gain, and energy yield.</t>
        </is>
      </c>
      <c r="G30" s="5" t="inlineStr">
        <is>
          <t>Accuracy specification</t>
        </is>
      </c>
      <c r="H30" s="5" t="inlineStr">
        <is>
          <t>Control spec, test report</t>
        </is>
      </c>
      <c r="I30" s="5" t="inlineStr">
        <is>
          <t>S18,S19</t>
        </is>
      </c>
      <c r="J30" s="5" t="inlineStr"/>
      <c r="K30" s="8" t="inlineStr"/>
      <c r="L30" s="8" t="inlineStr"/>
      <c r="M30" s="8" t="inlineStr"/>
      <c r="N30" s="8" t="inlineStr"/>
      <c r="O30" s="8" t="inlineStr"/>
      <c r="P30" s="9" t="inlineStr"/>
    </row>
    <row r="31">
      <c r="A31" s="5" t="inlineStr">
        <is>
          <t>CTL-05</t>
        </is>
      </c>
      <c r="B31" s="5" t="inlineStr">
        <is>
          <t>Controls and interfaces</t>
        </is>
      </c>
      <c r="C31" s="6" t="inlineStr">
        <is>
          <t>A</t>
        </is>
      </c>
      <c r="D31" s="7" t="inlineStr">
        <is>
          <t>Y</t>
        </is>
      </c>
      <c r="E31" s="5" t="inlineStr">
        <is>
          <t>Define fail-safe behavior for loss of sensor, loss of communications, power interruption, controller reboot, and actuator stall.</t>
        </is>
      </c>
      <c r="F31" s="5" t="inlineStr">
        <is>
          <t>Fail-safe state is a design requirement, not a commissioning detail.</t>
        </is>
      </c>
      <c r="G31" s="5" t="inlineStr">
        <is>
          <t>State table</t>
        </is>
      </c>
      <c r="H31" s="5" t="inlineStr">
        <is>
          <t>Functional safety note, controls manual</t>
        </is>
      </c>
      <c r="I31" s="5" t="inlineStr">
        <is>
          <t>S18,S19</t>
        </is>
      </c>
      <c r="J31" s="5" t="inlineStr"/>
      <c r="K31" s="8" t="inlineStr"/>
      <c r="L31" s="8" t="inlineStr"/>
      <c r="M31" s="8" t="inlineStr"/>
      <c r="N31" s="8" t="inlineStr"/>
      <c r="O31" s="8" t="inlineStr"/>
      <c r="P31" s="9" t="inlineStr"/>
    </row>
    <row r="32">
      <c r="A32" s="3" t="inlineStr">
        <is>
          <t>CTL-06</t>
        </is>
      </c>
      <c r="B32" s="3" t="inlineStr">
        <is>
          <t>Controls and interfaces</t>
        </is>
      </c>
      <c r="C32" s="3" t="inlineStr">
        <is>
          <t>B</t>
        </is>
      </c>
      <c r="D32" s="3" t="inlineStr">
        <is>
          <t>N</t>
        </is>
      </c>
      <c r="E32" s="3" t="inlineStr">
        <is>
          <t>Describe manual override, local recovery, and post-fault restart behavior.</t>
        </is>
      </c>
      <c r="F32" s="3" t="inlineStr">
        <is>
          <t>Needed for facility operations and troubleshooting.</t>
        </is>
      </c>
      <c r="G32" s="3" t="inlineStr">
        <is>
          <t>Procedure note</t>
        </is>
      </c>
      <c r="H32" s="3" t="inlineStr">
        <is>
          <t>Service manual, operator guide</t>
        </is>
      </c>
      <c r="I32" s="3" t="inlineStr">
        <is>
          <t>S19</t>
        </is>
      </c>
      <c r="J32" s="3" t="inlineStr"/>
      <c r="K32" s="10" t="inlineStr"/>
      <c r="L32" s="10" t="inlineStr"/>
      <c r="M32" s="10" t="inlineStr"/>
      <c r="N32" s="10" t="inlineStr"/>
      <c r="O32" s="10" t="inlineStr"/>
      <c r="P32" s="11" t="inlineStr"/>
    </row>
    <row r="33">
      <c r="A33" s="3" t="inlineStr">
        <is>
          <t>CTL-07</t>
        </is>
      </c>
      <c r="B33" s="3" t="inlineStr">
        <is>
          <t>Controls and interfaces</t>
        </is>
      </c>
      <c r="C33" s="3" t="inlineStr">
        <is>
          <t>B</t>
        </is>
      </c>
      <c r="D33" s="3" t="inlineStr">
        <is>
          <t>N</t>
        </is>
      </c>
      <c r="E33" s="3" t="inlineStr">
        <is>
          <t>Provide the alarm/event dictionary with severity classes and timestamp behavior.</t>
        </is>
      </c>
      <c r="F33" s="3" t="inlineStr">
        <is>
          <t>Makes remote fault localization realistic.</t>
        </is>
      </c>
      <c r="G33" s="3" t="inlineStr">
        <is>
          <t>Alarm list</t>
        </is>
      </c>
      <c r="H33" s="3" t="inlineStr">
        <is>
          <t>Alarm dictionary, sample logs</t>
        </is>
      </c>
      <c r="I33" s="3" t="inlineStr">
        <is>
          <t>S18,S19</t>
        </is>
      </c>
      <c r="J33" s="3" t="inlineStr"/>
      <c r="K33" s="10" t="inlineStr"/>
      <c r="L33" s="10" t="inlineStr"/>
      <c r="M33" s="10" t="inlineStr"/>
      <c r="N33" s="10" t="inlineStr"/>
      <c r="O33" s="10" t="inlineStr"/>
      <c r="P33" s="11" t="inlineStr"/>
    </row>
    <row r="34">
      <c r="A34" s="3" t="inlineStr">
        <is>
          <t>CTL-08</t>
        </is>
      </c>
      <c r="B34" s="3" t="inlineStr">
        <is>
          <t>Controls and interfaces</t>
        </is>
      </c>
      <c r="C34" s="3" t="inlineStr">
        <is>
          <t>B</t>
        </is>
      </c>
      <c r="D34" s="3" t="inlineStr">
        <is>
          <t>N</t>
        </is>
      </c>
      <c r="E34" s="3" t="inlineStr">
        <is>
          <t>Provide firmware-update method, rollback method, and version traceability rules.</t>
        </is>
      </c>
      <c r="F34" s="3" t="inlineStr">
        <is>
          <t>Reduces configuration drift and upgrade risk in façade-integrated assets.</t>
        </is>
      </c>
      <c r="G34" s="3" t="inlineStr">
        <is>
          <t>Software maintenance note</t>
        </is>
      </c>
      <c r="H34" s="3" t="inlineStr">
        <is>
          <t>Firmware management procedure</t>
        </is>
      </c>
      <c r="I34" s="3" t="inlineStr">
        <is>
          <t>S19</t>
        </is>
      </c>
      <c r="J34" s="3" t="inlineStr"/>
      <c r="K34" s="10" t="inlineStr"/>
      <c r="L34" s="10" t="inlineStr"/>
      <c r="M34" s="10" t="inlineStr"/>
      <c r="N34" s="10" t="inlineStr"/>
      <c r="O34" s="10" t="inlineStr"/>
      <c r="P34" s="11" t="inlineStr"/>
    </row>
    <row r="35">
      <c r="A35" s="5" t="inlineStr">
        <is>
          <t>THM-01</t>
        </is>
      </c>
      <c r="B35" s="5" t="inlineStr">
        <is>
          <t>Thermal and qualification</t>
        </is>
      </c>
      <c r="C35" s="6" t="inlineStr">
        <is>
          <t>A</t>
        </is>
      </c>
      <c r="D35" s="7" t="inlineStr">
        <is>
          <t>Y</t>
        </is>
      </c>
      <c r="E35" s="5" t="inlineStr">
        <is>
          <t>Provide measured or modeled temperatures for slat/cell, cavity/chamber air, local electronics, and frame-exit zones under representative summer and winter conditions.</t>
        </is>
      </c>
      <c r="F35" s="5" t="inlineStr">
        <is>
          <t>Thermal behavior is a first-order design unknown for glazing-integrated PV blinds.</t>
        </is>
      </c>
      <c r="G35" s="5" t="inlineStr">
        <is>
          <t>Plots + numeric table</t>
        </is>
      </c>
      <c r="H35" s="5" t="inlineStr">
        <is>
          <t>Thermal report, CFD or test report, measurement basis</t>
        </is>
      </c>
      <c r="I35" s="5" t="inlineStr">
        <is>
          <t>S11,S16,S17</t>
        </is>
      </c>
      <c r="J35" s="5" t="inlineStr">
        <is>
          <t>A04,A08</t>
        </is>
      </c>
      <c r="K35" s="8" t="inlineStr"/>
      <c r="L35" s="8" t="inlineStr"/>
      <c r="M35" s="8" t="inlineStr"/>
      <c r="N35" s="8" t="inlineStr"/>
      <c r="O35" s="8" t="inlineStr"/>
      <c r="P35" s="9" t="inlineStr"/>
    </row>
    <row r="36">
      <c r="A36" s="5" t="inlineStr">
        <is>
          <t>THM-02</t>
        </is>
      </c>
      <c r="B36" s="5" t="inlineStr">
        <is>
          <t>Thermal and qualification</t>
        </is>
      </c>
      <c r="C36" s="6" t="inlineStr">
        <is>
          <t>A</t>
        </is>
      </c>
      <c r="D36" s="7" t="inlineStr">
        <is>
          <t>Y</t>
        </is>
      </c>
      <c r="E36" s="5" t="inlineStr">
        <is>
          <t>Provide declared operating limits, derating behavior, and protective thresholds for PV, electronics, and actuators.</t>
        </is>
      </c>
      <c r="F36" s="5" t="inlineStr">
        <is>
          <t>Needed to define control limits and abnormal-condition handling.</t>
        </is>
      </c>
      <c r="G36" s="5" t="inlineStr">
        <is>
          <t>Limit table</t>
        </is>
      </c>
      <c r="H36" s="5" t="inlineStr">
        <is>
          <t>Datasheet or controls protection note</t>
        </is>
      </c>
      <c r="I36" s="5" t="inlineStr">
        <is>
          <t>S11,S12</t>
        </is>
      </c>
      <c r="J36" s="5" t="inlineStr"/>
      <c r="K36" s="8" t="inlineStr"/>
      <c r="L36" s="8" t="inlineStr"/>
      <c r="M36" s="8" t="inlineStr"/>
      <c r="N36" s="8" t="inlineStr"/>
      <c r="O36" s="8" t="inlineStr"/>
      <c r="P36" s="9" t="inlineStr"/>
    </row>
    <row r="37">
      <c r="A37" s="5" t="inlineStr">
        <is>
          <t>THM-03</t>
        </is>
      </c>
      <c r="B37" s="5" t="inlineStr">
        <is>
          <t>Thermal and qualification</t>
        </is>
      </c>
      <c r="C37" s="6" t="inlineStr">
        <is>
          <t>A</t>
        </is>
      </c>
      <c r="D37" s="7" t="inlineStr">
        <is>
          <t>Y</t>
        </is>
      </c>
      <c r="E37" s="5" t="inlineStr">
        <is>
          <t>Provide the qualification basis for the offered build: IEC 61730, IEC 61215, IEC TS 63126 if applicable, and any technology-specific or in-house tests actually completed.</t>
        </is>
      </c>
      <c r="F37" s="5" t="inlineStr">
        <is>
          <t>Qualification must attach to the actual offered product, not to a generic technology family.</t>
        </is>
      </c>
      <c r="G37" s="5" t="inlineStr">
        <is>
          <t>Qualification matrix</t>
        </is>
      </c>
      <c r="H37" s="5" t="inlineStr">
        <is>
          <t>Test reports, certificates, summary matrix</t>
        </is>
      </c>
      <c r="I37" s="5" t="inlineStr">
        <is>
          <t>S08,S09,S10,S11</t>
        </is>
      </c>
      <c r="J37" s="5" t="inlineStr">
        <is>
          <t>A03</t>
        </is>
      </c>
      <c r="K37" s="8" t="inlineStr"/>
      <c r="L37" s="8" t="inlineStr"/>
      <c r="M37" s="8" t="inlineStr"/>
      <c r="N37" s="8" t="inlineStr"/>
      <c r="O37" s="8" t="inlineStr"/>
      <c r="P37" s="9" t="inlineStr"/>
    </row>
    <row r="38">
      <c r="A38" s="5" t="inlineStr">
        <is>
          <t>THM-04</t>
        </is>
      </c>
      <c r="B38" s="5" t="inlineStr">
        <is>
          <t>Thermal and qualification</t>
        </is>
      </c>
      <c r="C38" s="6" t="inlineStr">
        <is>
          <t>A</t>
        </is>
      </c>
      <c r="D38" s="7" t="inlineStr">
        <is>
          <t>Y</t>
        </is>
      </c>
      <c r="E38" s="5" t="inlineStr">
        <is>
          <t>Provide evidence on humidity, condensation, seal durability, and moisture tolerance relevant to the blind chamber and electrical exits.</t>
        </is>
      </c>
      <c r="F38" s="5" t="inlineStr">
        <is>
          <t>Moisture is an architecture-specific risk in enclosed moving PV assemblies.</t>
        </is>
      </c>
      <c r="G38" s="5" t="inlineStr">
        <is>
          <t>Environmental test summary</t>
        </is>
      </c>
      <c r="H38" s="5" t="inlineStr">
        <is>
          <t>Test report, climatic test matrix, inspection criteria</t>
        </is>
      </c>
      <c r="I38" s="5" t="inlineStr">
        <is>
          <t>S13,S19</t>
        </is>
      </c>
      <c r="J38" s="5" t="inlineStr">
        <is>
          <t>A04,A05</t>
        </is>
      </c>
      <c r="K38" s="8" t="inlineStr"/>
      <c r="L38" s="8" t="inlineStr"/>
      <c r="M38" s="8" t="inlineStr"/>
      <c r="N38" s="8" t="inlineStr"/>
      <c r="O38" s="8" t="inlineStr"/>
      <c r="P38" s="9" t="inlineStr"/>
    </row>
    <row r="39">
      <c r="A39" s="3" t="inlineStr">
        <is>
          <t>THM-05</t>
        </is>
      </c>
      <c r="B39" s="3" t="inlineStr">
        <is>
          <t>Thermal and qualification</t>
        </is>
      </c>
      <c r="C39" s="3" t="inlineStr">
        <is>
          <t>B</t>
        </is>
      </c>
      <c r="D39" s="3" t="inlineStr">
        <is>
          <t>N</t>
        </is>
      </c>
      <c r="E39" s="3" t="inlineStr">
        <is>
          <t>State whether thermography is recommended at factory acceptance, site acceptance, or in maintenance, and define the usable inspection conditions.</t>
        </is>
      </c>
      <c r="F39" s="3" t="inlineStr">
        <is>
          <t>Closes the practical thermal-diagnostics pathway.</t>
        </is>
      </c>
      <c r="G39" s="3" t="inlineStr">
        <is>
          <t>Inspection note</t>
        </is>
      </c>
      <c r="H39" s="3" t="inlineStr">
        <is>
          <t>Thermography procedure or guidance</t>
        </is>
      </c>
      <c r="I39" s="3" t="inlineStr">
        <is>
          <t>S20</t>
        </is>
      </c>
      <c r="J39" s="3" t="inlineStr"/>
      <c r="K39" s="10" t="inlineStr"/>
      <c r="L39" s="10" t="inlineStr"/>
      <c r="M39" s="10" t="inlineStr"/>
      <c r="N39" s="10" t="inlineStr"/>
      <c r="O39" s="10" t="inlineStr"/>
      <c r="P39" s="11" t="inlineStr"/>
    </row>
    <row r="40">
      <c r="A40" s="3" t="inlineStr">
        <is>
          <t>THM-06</t>
        </is>
      </c>
      <c r="B40" s="3" t="inlineStr">
        <is>
          <t>Thermal and qualification</t>
        </is>
      </c>
      <c r="C40" s="3" t="inlineStr">
        <is>
          <t>B</t>
        </is>
      </c>
      <c r="D40" s="3" t="inlineStr">
        <is>
          <t>N</t>
        </is>
      </c>
      <c r="E40" s="3" t="inlineStr">
        <is>
          <t>Provide any known installation conditions that materially increase temperature or invalidate the standard performance basis.</t>
        </is>
      </c>
      <c r="F40" s="3" t="inlineStr">
        <is>
          <t>Needed to identify high-temperature trigger conditions early.</t>
        </is>
      </c>
      <c r="G40" s="3" t="inlineStr">
        <is>
          <t>Constraint note</t>
        </is>
      </c>
      <c r="H40" s="3" t="inlineStr">
        <is>
          <t>Application note, exclusions, thermal warnings</t>
        </is>
      </c>
      <c r="I40" s="3" t="inlineStr">
        <is>
          <t>S11,S17</t>
        </is>
      </c>
      <c r="J40" s="3" t="inlineStr"/>
      <c r="K40" s="10" t="inlineStr"/>
      <c r="L40" s="10" t="inlineStr"/>
      <c r="M40" s="10" t="inlineStr"/>
      <c r="N40" s="10" t="inlineStr"/>
      <c r="O40" s="10" t="inlineStr"/>
      <c r="P40" s="11" t="inlineStr"/>
    </row>
    <row r="41">
      <c r="A41" s="3" t="inlineStr">
        <is>
          <t>THM-07</t>
        </is>
      </c>
      <c r="B41" s="3" t="inlineStr">
        <is>
          <t>Thermal and qualification</t>
        </is>
      </c>
      <c r="C41" s="3" t="inlineStr">
        <is>
          <t>B</t>
        </is>
      </c>
      <c r="D41" s="3" t="inlineStr">
        <is>
          <t>N</t>
        </is>
      </c>
      <c r="E41" s="3" t="inlineStr">
        <is>
          <t>Provide building-product fire or smoke related declarations that the façade team must account for, if applicable to the offered assembly.</t>
        </is>
      </c>
      <c r="F41" s="3" t="inlineStr">
        <is>
          <t>Prevents a late handoff gap between PV and façade/fire reviewers.</t>
        </is>
      </c>
      <c r="G41" s="3" t="inlineStr">
        <is>
          <t>Declaration set</t>
        </is>
      </c>
      <c r="H41" s="3" t="inlineStr">
        <is>
          <t>Certificates, declarations, façade-system notes</t>
        </is>
      </c>
      <c r="I41" s="3" t="inlineStr">
        <is>
          <t>S01,S02</t>
        </is>
      </c>
      <c r="J41" s="3" t="inlineStr"/>
      <c r="K41" s="10" t="inlineStr"/>
      <c r="L41" s="10" t="inlineStr"/>
      <c r="M41" s="10" t="inlineStr"/>
      <c r="N41" s="10" t="inlineStr"/>
      <c r="O41" s="10" t="inlineStr"/>
      <c r="P41" s="11" t="inlineStr"/>
    </row>
    <row r="42">
      <c r="A42" s="5" t="inlineStr">
        <is>
          <t>REL-01</t>
        </is>
      </c>
      <c r="B42" s="5" t="inlineStr">
        <is>
          <t>Reliability and service</t>
        </is>
      </c>
      <c r="C42" s="6" t="inlineStr">
        <is>
          <t>A</t>
        </is>
      </c>
      <c r="D42" s="7" t="inlineStr">
        <is>
          <t>Y</t>
        </is>
      </c>
      <c r="E42" s="5" t="inlineStr">
        <is>
          <t>Provide actuator cycle-life evidence under the actual load/environment envelope of the offered product.</t>
        </is>
      </c>
      <c r="F42" s="5" t="inlineStr">
        <is>
          <t>Moving-element reliability is central and cannot be inferred from generic blind hardware.</t>
        </is>
      </c>
      <c r="G42" s="5" t="inlineStr">
        <is>
          <t>Life-test summary</t>
        </is>
      </c>
      <c r="H42" s="5" t="inlineStr">
        <is>
          <t>Qualification report, cycle-test report</t>
        </is>
      </c>
      <c r="I42" s="5" t="inlineStr">
        <is>
          <t>S19</t>
        </is>
      </c>
      <c r="J42" s="5" t="inlineStr"/>
      <c r="K42" s="8" t="inlineStr"/>
      <c r="L42" s="8" t="inlineStr"/>
      <c r="M42" s="8" t="inlineStr"/>
      <c r="N42" s="8" t="inlineStr"/>
      <c r="O42" s="8" t="inlineStr"/>
      <c r="P42" s="9" t="inlineStr"/>
    </row>
    <row r="43">
      <c r="A43" s="5" t="inlineStr">
        <is>
          <t>REL-02</t>
        </is>
      </c>
      <c r="B43" s="5" t="inlineStr">
        <is>
          <t>Reliability and service</t>
        </is>
      </c>
      <c r="C43" s="6" t="inlineStr">
        <is>
          <t>A</t>
        </is>
      </c>
      <c r="D43" s="7" t="inlineStr">
        <is>
          <t>Y</t>
        </is>
      </c>
      <c r="E43" s="5" t="inlineStr">
        <is>
          <t>Provide evidence for cable/harness flex life or motion-fatigue control at all moving electrical interfaces.</t>
        </is>
      </c>
      <c r="F43" s="5" t="inlineStr">
        <is>
          <t>Intermittent motion-related conductor failures are difficult to localize after installation.</t>
        </is>
      </c>
      <c r="G43" s="5" t="inlineStr">
        <is>
          <t>Reliability summary</t>
        </is>
      </c>
      <c r="H43" s="5" t="inlineStr">
        <is>
          <t>Motion-cycle test, bend-life data, design note</t>
        </is>
      </c>
      <c r="I43" s="5" t="inlineStr">
        <is>
          <t>S13,S15,S19</t>
        </is>
      </c>
      <c r="J43" s="5" t="inlineStr"/>
      <c r="K43" s="8" t="inlineStr"/>
      <c r="L43" s="8" t="inlineStr"/>
      <c r="M43" s="8" t="inlineStr"/>
      <c r="N43" s="8" t="inlineStr"/>
      <c r="O43" s="8" t="inlineStr"/>
      <c r="P43" s="9" t="inlineStr"/>
    </row>
    <row r="44">
      <c r="A44" s="5" t="inlineStr">
        <is>
          <t>REL-03</t>
        </is>
      </c>
      <c r="B44" s="5" t="inlineStr">
        <is>
          <t>Reliability and service</t>
        </is>
      </c>
      <c r="C44" s="6" t="inlineStr">
        <is>
          <t>A</t>
        </is>
      </c>
      <c r="D44" s="7" t="inlineStr">
        <is>
          <t>Y</t>
        </is>
      </c>
      <c r="E44" s="5" t="inlineStr">
        <is>
          <t>Provide feedthrough and seal-interface reliability evidence under temperature cycling, humidity, and service handling.</t>
        </is>
      </c>
      <c r="F44" s="5" t="inlineStr">
        <is>
          <t>This is one of the highest-risk latent-fault interfaces in the system.</t>
        </is>
      </c>
      <c r="G44" s="5" t="inlineStr">
        <is>
          <t>Reliability summary</t>
        </is>
      </c>
      <c r="H44" s="5" t="inlineStr">
        <is>
          <t>Test report, design verification plan, warranty note</t>
        </is>
      </c>
      <c r="I44" s="5" t="inlineStr">
        <is>
          <t>S13,S19</t>
        </is>
      </c>
      <c r="J44" s="5" t="inlineStr">
        <is>
          <t>A05</t>
        </is>
      </c>
      <c r="K44" s="8" t="inlineStr"/>
      <c r="L44" s="8" t="inlineStr"/>
      <c r="M44" s="8" t="inlineStr"/>
      <c r="N44" s="8" t="inlineStr"/>
      <c r="O44" s="8" t="inlineStr"/>
      <c r="P44" s="9" t="inlineStr"/>
    </row>
    <row r="45">
      <c r="A45" s="3" t="inlineStr">
        <is>
          <t>REL-04</t>
        </is>
      </c>
      <c r="B45" s="3" t="inlineStr">
        <is>
          <t>Reliability and service</t>
        </is>
      </c>
      <c r="C45" s="3" t="inlineStr">
        <is>
          <t>B</t>
        </is>
      </c>
      <c r="D45" s="3" t="inlineStr">
        <is>
          <t>N</t>
        </is>
      </c>
      <c r="E45" s="3" t="inlineStr">
        <is>
          <t>Provide field failure modes seen to date and the current corrective-action status for each significant mode.</t>
        </is>
      </c>
      <c r="F45" s="3" t="inlineStr">
        <is>
          <t>Field feedback is often more informative than generic MTBF language.</t>
        </is>
      </c>
      <c r="G45" s="3" t="inlineStr">
        <is>
          <t>Failure-mode table</t>
        </is>
      </c>
      <c r="H45" s="3" t="inlineStr">
        <is>
          <t>NCR/CAPA summary, anonymized field data</t>
        </is>
      </c>
      <c r="I45" s="3" t="inlineStr">
        <is>
          <t>S19</t>
        </is>
      </c>
      <c r="J45" s="3" t="inlineStr"/>
      <c r="K45" s="10" t="inlineStr"/>
      <c r="L45" s="10" t="inlineStr"/>
      <c r="M45" s="10" t="inlineStr"/>
      <c r="N45" s="10" t="inlineStr"/>
      <c r="O45" s="10" t="inlineStr"/>
      <c r="P45" s="11" t="inlineStr"/>
    </row>
    <row r="46">
      <c r="A46" s="3" t="inlineStr">
        <is>
          <t>REL-05</t>
        </is>
      </c>
      <c r="B46" s="3" t="inlineStr">
        <is>
          <t>Reliability and service</t>
        </is>
      </c>
      <c r="C46" s="3" t="inlineStr">
        <is>
          <t>B</t>
        </is>
      </c>
      <c r="D46" s="3" t="inlineStr">
        <is>
          <t>N</t>
        </is>
      </c>
      <c r="E46" s="3" t="inlineStr">
        <is>
          <t>Provide expected replacement times and special access needs for L1/L2/L3/L4 interventions.</t>
        </is>
      </c>
      <c r="F46" s="3" t="inlineStr">
        <is>
          <t>Needed for downtime and access-cost modeling.</t>
        </is>
      </c>
      <c r="G46" s="3" t="inlineStr">
        <is>
          <t>Service table</t>
        </is>
      </c>
      <c r="H46" s="3" t="inlineStr">
        <is>
          <t>Service procedure, required tools, labor assumptions</t>
        </is>
      </c>
      <c r="I46" s="3" t="inlineStr">
        <is>
          <t>S19</t>
        </is>
      </c>
      <c r="J46" s="3" t="inlineStr">
        <is>
          <t>A07,A10</t>
        </is>
      </c>
      <c r="K46" s="10" t="inlineStr"/>
      <c r="L46" s="10" t="inlineStr"/>
      <c r="M46" s="10" t="inlineStr"/>
      <c r="N46" s="10" t="inlineStr"/>
      <c r="O46" s="10" t="inlineStr"/>
      <c r="P46" s="11" t="inlineStr"/>
    </row>
    <row r="47">
      <c r="A47" s="5" t="inlineStr">
        <is>
          <t>REL-06</t>
        </is>
      </c>
      <c r="B47" s="5" t="inlineStr">
        <is>
          <t>Reliability and service</t>
        </is>
      </c>
      <c r="C47" s="6" t="inlineStr">
        <is>
          <t>A</t>
        </is>
      </c>
      <c r="D47" s="7" t="inlineStr">
        <is>
          <t>Y</t>
        </is>
      </c>
      <c r="E47" s="5" t="inlineStr">
        <is>
          <t>Provide the actual replacement procedure for a failed unit, including electrical isolation steps, recommissioning checks, and risk of misconnection.</t>
        </is>
      </c>
      <c r="F47" s="5" t="inlineStr">
        <is>
          <t>Service procedure quality is a major differentiator for enclosed façade hardware.</t>
        </is>
      </c>
      <c r="G47" s="5" t="inlineStr">
        <is>
          <t>Procedure document</t>
        </is>
      </c>
      <c r="H47" s="5" t="inlineStr">
        <is>
          <t>Replacement work instruction, recommissioning checklist</t>
        </is>
      </c>
      <c r="I47" s="5" t="inlineStr">
        <is>
          <t>S06,S18,S19</t>
        </is>
      </c>
      <c r="J47" s="5" t="inlineStr">
        <is>
          <t>A07,A10</t>
        </is>
      </c>
      <c r="K47" s="8" t="inlineStr"/>
      <c r="L47" s="8" t="inlineStr"/>
      <c r="M47" s="8" t="inlineStr"/>
      <c r="N47" s="8" t="inlineStr"/>
      <c r="O47" s="8" t="inlineStr"/>
      <c r="P47" s="9" t="inlineStr"/>
    </row>
    <row r="48">
      <c r="A48" s="3" t="inlineStr">
        <is>
          <t>REL-07</t>
        </is>
      </c>
      <c r="B48" s="3" t="inlineStr">
        <is>
          <t>Reliability and service</t>
        </is>
      </c>
      <c r="C48" s="3" t="inlineStr">
        <is>
          <t>B</t>
        </is>
      </c>
      <c r="D48" s="3" t="inlineStr">
        <is>
          <t>N</t>
        </is>
      </c>
      <c r="E48" s="3" t="inlineStr">
        <is>
          <t>Provide preventive-maintenance intervals, inspection points, consumables, and explicit no-maintenance claims or exclusions.</t>
        </is>
      </c>
      <c r="F48" s="3" t="inlineStr">
        <is>
          <t>Needed to turn 'low maintenance' into an auditable O&amp;M statement.</t>
        </is>
      </c>
      <c r="G48" s="3" t="inlineStr">
        <is>
          <t>Maintenance schedule</t>
        </is>
      </c>
      <c r="H48" s="3" t="inlineStr">
        <is>
          <t>Maintenance manual, warranty exclusions</t>
        </is>
      </c>
      <c r="I48" s="3" t="inlineStr">
        <is>
          <t>S19</t>
        </is>
      </c>
      <c r="J48" s="3" t="inlineStr">
        <is>
          <t>A10</t>
        </is>
      </c>
      <c r="K48" s="10" t="inlineStr"/>
      <c r="L48" s="10" t="inlineStr"/>
      <c r="M48" s="10" t="inlineStr"/>
      <c r="N48" s="10" t="inlineStr"/>
      <c r="O48" s="10" t="inlineStr"/>
      <c r="P48" s="11" t="inlineStr"/>
    </row>
    <row r="49">
      <c r="A49" s="3" t="inlineStr">
        <is>
          <t>REL-08</t>
        </is>
      </c>
      <c r="B49" s="3" t="inlineStr">
        <is>
          <t>Reliability and service</t>
        </is>
      </c>
      <c r="C49" s="3" t="inlineStr">
        <is>
          <t>B</t>
        </is>
      </c>
      <c r="D49" s="3" t="inlineStr">
        <is>
          <t>N</t>
        </is>
      </c>
      <c r="E49" s="3" t="inlineStr">
        <is>
          <t>Provide the spare-parts strategy and parts availability horizon for actuators, controllers, connectors, and special glass/blind subassemblies.</t>
        </is>
      </c>
      <c r="F49" s="3" t="inlineStr">
        <is>
          <t>Long lead items drive lifecycle risk in façade retrofits.</t>
        </is>
      </c>
      <c r="G49" s="3" t="inlineStr">
        <is>
          <t>Spares table</t>
        </is>
      </c>
      <c r="H49" s="3" t="inlineStr">
        <is>
          <t>Part list, lead times, obsolescence policy</t>
        </is>
      </c>
      <c r="I49" s="3" t="inlineStr">
        <is>
          <t>S19</t>
        </is>
      </c>
      <c r="J49" s="3" t="inlineStr"/>
      <c r="K49" s="10" t="inlineStr"/>
      <c r="L49" s="10" t="inlineStr"/>
      <c r="M49" s="10" t="inlineStr"/>
      <c r="N49" s="10" t="inlineStr"/>
      <c r="O49" s="10" t="inlineStr"/>
      <c r="P49" s="11" t="inlineStr"/>
    </row>
    <row r="50">
      <c r="A50" s="5" t="inlineStr">
        <is>
          <t>COM-01</t>
        </is>
      </c>
      <c r="B50" s="5" t="inlineStr">
        <is>
          <t>Commissioning and handover</t>
        </is>
      </c>
      <c r="C50" s="6" t="inlineStr">
        <is>
          <t>A</t>
        </is>
      </c>
      <c r="D50" s="7" t="inlineStr">
        <is>
          <t>Y</t>
        </is>
      </c>
      <c r="E50" s="5" t="inlineStr">
        <is>
          <t>Provide the standard commissioning package: single-line, labeling scheme, point list, acceptance tests, and record sheets.</t>
        </is>
      </c>
      <c r="F50" s="5" t="inlineStr">
        <is>
          <t>This closes the IEC 62446-style handover gap before procurement.</t>
        </is>
      </c>
      <c r="G50" s="5" t="inlineStr">
        <is>
          <t>Document set</t>
        </is>
      </c>
      <c r="H50" s="5" t="inlineStr">
        <is>
          <t>Commissioning pack, templates, FAT/SAT forms</t>
        </is>
      </c>
      <c r="I50" s="5" t="inlineStr">
        <is>
          <t>S18</t>
        </is>
      </c>
      <c r="J50" s="5" t="inlineStr"/>
      <c r="K50" s="8" t="inlineStr"/>
      <c r="L50" s="8" t="inlineStr"/>
      <c r="M50" s="8" t="inlineStr"/>
      <c r="N50" s="8" t="inlineStr"/>
      <c r="O50" s="8" t="inlineStr"/>
      <c r="P50" s="9" t="inlineStr"/>
    </row>
    <row r="51">
      <c r="A51" s="5" t="inlineStr">
        <is>
          <t>COM-02</t>
        </is>
      </c>
      <c r="B51" s="5" t="inlineStr">
        <is>
          <t>Commissioning and handover</t>
        </is>
      </c>
      <c r="C51" s="6" t="inlineStr">
        <is>
          <t>A</t>
        </is>
      </c>
      <c r="D51" s="7" t="inlineStr">
        <is>
          <t>Y</t>
        </is>
      </c>
      <c r="E51" s="5" t="inlineStr">
        <is>
          <t>State the required pre-energization, energization, and functional tests for first power-up and post-replacement recommissioning.</t>
        </is>
      </c>
      <c r="F51" s="5" t="inlineStr">
        <is>
          <t>Needed for safe startup and clean service loops.</t>
        </is>
      </c>
      <c r="G51" s="5" t="inlineStr">
        <is>
          <t>Test matrix</t>
        </is>
      </c>
      <c r="H51" s="5" t="inlineStr">
        <is>
          <t>Commissioning procedure, replacement recommissioning steps</t>
        </is>
      </c>
      <c r="I51" s="5" t="inlineStr">
        <is>
          <t>S18,S19</t>
        </is>
      </c>
      <c r="J51" s="5" t="inlineStr">
        <is>
          <t>A07</t>
        </is>
      </c>
      <c r="K51" s="8" t="inlineStr"/>
      <c r="L51" s="8" t="inlineStr"/>
      <c r="M51" s="8" t="inlineStr"/>
      <c r="N51" s="8" t="inlineStr"/>
      <c r="O51" s="8" t="inlineStr"/>
      <c r="P51" s="9" t="inlineStr"/>
    </row>
    <row r="52">
      <c r="A52" s="5" t="inlineStr">
        <is>
          <t>COM-03</t>
        </is>
      </c>
      <c r="B52" s="5" t="inlineStr">
        <is>
          <t>Commissioning and handover</t>
        </is>
      </c>
      <c r="C52" s="6" t="inlineStr">
        <is>
          <t>A</t>
        </is>
      </c>
      <c r="D52" s="7" t="inlineStr">
        <is>
          <t>Y</t>
        </is>
      </c>
      <c r="E52" s="5" t="inlineStr">
        <is>
          <t>Provide acceptance limits or tolerances for key values: measured Voc, current, angle accuracy, telemetry availability, and temperature baseline.</t>
        </is>
      </c>
      <c r="F52" s="5" t="inlineStr">
        <is>
          <t>Without pass/fail limits, a commissioning checklist is only paperwork.</t>
        </is>
      </c>
      <c r="G52" s="5" t="inlineStr">
        <is>
          <t>Tolerance table</t>
        </is>
      </c>
      <c r="H52" s="5" t="inlineStr">
        <is>
          <t>Acceptance criteria document</t>
        </is>
      </c>
      <c r="I52" s="5" t="inlineStr">
        <is>
          <t>S18,S20</t>
        </is>
      </c>
      <c r="J52" s="5" t="inlineStr">
        <is>
          <t>A08</t>
        </is>
      </c>
      <c r="K52" s="8" t="inlineStr"/>
      <c r="L52" s="8" t="inlineStr"/>
      <c r="M52" s="8" t="inlineStr"/>
      <c r="N52" s="8" t="inlineStr"/>
      <c r="O52" s="8" t="inlineStr"/>
      <c r="P52" s="9" t="inlineStr"/>
    </row>
    <row r="53">
      <c r="A53" s="3" t="inlineStr">
        <is>
          <t>COM-04</t>
        </is>
      </c>
      <c r="B53" s="3" t="inlineStr">
        <is>
          <t>Commissioning and handover</t>
        </is>
      </c>
      <c r="C53" s="3" t="inlineStr">
        <is>
          <t>B</t>
        </is>
      </c>
      <c r="D53" s="3" t="inlineStr">
        <is>
          <t>N</t>
        </is>
      </c>
      <c r="E53" s="3" t="inlineStr">
        <is>
          <t>Provide the required as-built labels and naming conventions for units, groups, feedthroughs, and control points.</t>
        </is>
      </c>
      <c r="F53" s="3" t="inlineStr">
        <is>
          <t>Makes later diagnostics and part replacement tractable.</t>
        </is>
      </c>
      <c r="G53" s="3" t="inlineStr">
        <is>
          <t>Naming convention table</t>
        </is>
      </c>
      <c r="H53" s="3" t="inlineStr">
        <is>
          <t>Labeling standard, sample drawings</t>
        </is>
      </c>
      <c r="I53" s="3" t="inlineStr">
        <is>
          <t>S18,S19</t>
        </is>
      </c>
      <c r="J53" s="3" t="inlineStr"/>
      <c r="K53" s="10" t="inlineStr"/>
      <c r="L53" s="10" t="inlineStr"/>
      <c r="M53" s="10" t="inlineStr"/>
      <c r="N53" s="10" t="inlineStr"/>
      <c r="O53" s="10" t="inlineStr"/>
      <c r="P53" s="11" t="inlineStr"/>
    </row>
    <row r="54">
      <c r="A54" s="3" t="inlineStr">
        <is>
          <t>COM-05</t>
        </is>
      </c>
      <c r="B54" s="3" t="inlineStr">
        <is>
          <t>Commissioning and handover</t>
        </is>
      </c>
      <c r="C54" s="3" t="inlineStr">
        <is>
          <t>B</t>
        </is>
      </c>
      <c r="D54" s="3" t="inlineStr">
        <is>
          <t>N</t>
        </is>
      </c>
      <c r="E54" s="3" t="inlineStr">
        <is>
          <t>Provide a sample event log or SCADA export showing normal operation, alarm behavior, and fault reset behavior.</t>
        </is>
      </c>
      <c r="F54" s="3" t="inlineStr">
        <is>
          <t>Reduces ambiguity in monitoring/BMS integration.</t>
        </is>
      </c>
      <c r="G54" s="3" t="inlineStr">
        <is>
          <t>Sample export</t>
        </is>
      </c>
      <c r="H54" s="3" t="inlineStr">
        <is>
          <t>CSV/log export, screenshot, protocol map</t>
        </is>
      </c>
      <c r="I54" s="3" t="inlineStr">
        <is>
          <t>S18,S19</t>
        </is>
      </c>
      <c r="J54" s="3" t="inlineStr"/>
      <c r="K54" s="10" t="inlineStr"/>
      <c r="L54" s="10" t="inlineStr"/>
      <c r="M54" s="10" t="inlineStr"/>
      <c r="N54" s="10" t="inlineStr"/>
      <c r="O54" s="10" t="inlineStr"/>
      <c r="P54" s="11" t="inlineStr"/>
    </row>
    <row r="55">
      <c r="A55" s="3" t="inlineStr">
        <is>
          <t>COM-06</t>
        </is>
      </c>
      <c r="B55" s="3" t="inlineStr">
        <is>
          <t>Commissioning and handover</t>
        </is>
      </c>
      <c r="C55" s="3" t="inlineStr">
        <is>
          <t>B</t>
        </is>
      </c>
      <c r="D55" s="3" t="inlineStr">
        <is>
          <t>N</t>
        </is>
      </c>
      <c r="E55" s="3" t="inlineStr">
        <is>
          <t>State training, witnessing, or vendor attendance requirements for FAT, SAT, first energization, and warranty-preserving maintenance.</t>
        </is>
      </c>
      <c r="F55" s="3" t="inlineStr">
        <is>
          <t>These conditions can materially affect deployment cost and schedule.</t>
        </is>
      </c>
      <c r="G55" s="3" t="inlineStr">
        <is>
          <t>Responsibility matrix</t>
        </is>
      </c>
      <c r="H55" s="3" t="inlineStr">
        <is>
          <t>Commercial/technical terms, commissioning scope</t>
        </is>
      </c>
      <c r="I55" s="3" t="inlineStr">
        <is>
          <t>S18,S19</t>
        </is>
      </c>
      <c r="J55" s="3" t="inlineStr"/>
      <c r="K55" s="10" t="inlineStr"/>
      <c r="L55" s="10" t="inlineStr"/>
      <c r="M55" s="10" t="inlineStr"/>
      <c r="N55" s="10" t="inlineStr"/>
      <c r="O55" s="10" t="inlineStr"/>
      <c r="P55" s="11" t="inlineStr"/>
    </row>
    <row r="56">
      <c r="A56" s="3" t="inlineStr">
        <is>
          <t>BUS-01</t>
        </is>
      </c>
      <c r="B56" s="3" t="inlineStr">
        <is>
          <t>Commercial and warranty</t>
        </is>
      </c>
      <c r="C56" s="3" t="inlineStr">
        <is>
          <t>B</t>
        </is>
      </c>
      <c r="D56" s="3" t="inlineStr">
        <is>
          <t>N</t>
        </is>
      </c>
      <c r="E56" s="3" t="inlineStr">
        <is>
          <t>Provide warranty terms by subsystem: glass, PV performance, blind mechanics, actuators, electronics, controls software, and connectors/feedthroughs.</t>
        </is>
      </c>
      <c r="F56" s="3" t="inlineStr">
        <is>
          <t>Subsystem-split warranty terms matter more than a single headline number.</t>
        </is>
      </c>
      <c r="G56" s="3" t="inlineStr">
        <is>
          <t>Warranty matrix</t>
        </is>
      </c>
      <c r="H56" s="3" t="inlineStr">
        <is>
          <t>Warranty document, exclusions, transfer rules</t>
        </is>
      </c>
      <c r="I56" s="3" t="inlineStr">
        <is>
          <t>S19</t>
        </is>
      </c>
      <c r="J56" s="3" t="inlineStr">
        <is>
          <t>A10</t>
        </is>
      </c>
      <c r="K56" s="10" t="inlineStr"/>
      <c r="L56" s="10" t="inlineStr"/>
      <c r="M56" s="10" t="inlineStr"/>
      <c r="N56" s="10" t="inlineStr"/>
      <c r="O56" s="10" t="inlineStr"/>
      <c r="P56" s="11" t="inlineStr"/>
    </row>
    <row r="57">
      <c r="A57" s="3" t="inlineStr">
        <is>
          <t>BUS-02</t>
        </is>
      </c>
      <c r="B57" s="3" t="inlineStr">
        <is>
          <t>Commercial and warranty</t>
        </is>
      </c>
      <c r="C57" s="3" t="inlineStr">
        <is>
          <t>B</t>
        </is>
      </c>
      <c r="D57" s="3" t="inlineStr">
        <is>
          <t>N</t>
        </is>
      </c>
      <c r="E57" s="3" t="inlineStr">
        <is>
          <t>List warranty exclusions triggered by non-approved power electronics, control logic, mounting details, cleaning, or service practices.</t>
        </is>
      </c>
      <c r="F57" s="3" t="inlineStr">
        <is>
          <t>Needed to keep architecture and O&amp;M decisions contract-safe.</t>
        </is>
      </c>
      <c r="G57" s="3" t="inlineStr">
        <is>
          <t>Exclusion list</t>
        </is>
      </c>
      <c r="H57" s="3" t="inlineStr">
        <is>
          <t>Warranty conditions, approved-use matrix</t>
        </is>
      </c>
      <c r="I57" s="3" t="inlineStr">
        <is>
          <t>S05,S19</t>
        </is>
      </c>
      <c r="J57" s="3" t="inlineStr">
        <is>
          <t>A10</t>
        </is>
      </c>
      <c r="K57" s="10" t="inlineStr"/>
      <c r="L57" s="10" t="inlineStr"/>
      <c r="M57" s="10" t="inlineStr"/>
      <c r="N57" s="10" t="inlineStr"/>
      <c r="O57" s="10" t="inlineStr"/>
      <c r="P57" s="11" t="inlineStr"/>
    </row>
    <row r="58">
      <c r="A58" s="3" t="inlineStr">
        <is>
          <t>BUS-03</t>
        </is>
      </c>
      <c r="B58" s="3" t="inlineStr">
        <is>
          <t>Commercial and warranty</t>
        </is>
      </c>
      <c r="C58" s="3" t="inlineStr">
        <is>
          <t>B</t>
        </is>
      </c>
      <c r="D58" s="3" t="inlineStr">
        <is>
          <t>N</t>
        </is>
      </c>
      <c r="E58" s="3" t="inlineStr">
        <is>
          <t>Provide indicative lead times, minimum order conditions, and any long-lead custom parts relevant to pilot and scale-up deployment.</t>
        </is>
      </c>
      <c r="F58" s="3" t="inlineStr">
        <is>
          <t>Directly affects roadmap realism and retrofit planning.</t>
        </is>
      </c>
      <c r="G58" s="3" t="inlineStr">
        <is>
          <t>Commercial table</t>
        </is>
      </c>
      <c r="H58" s="3" t="inlineStr">
        <is>
          <t>Offer conditions, supply-chain note</t>
        </is>
      </c>
      <c r="I58" s="3" t="inlineStr">
        <is>
          <t>S19</t>
        </is>
      </c>
      <c r="J58" s="3" t="inlineStr"/>
      <c r="K58" s="10" t="inlineStr"/>
      <c r="L58" s="10" t="inlineStr"/>
      <c r="M58" s="10" t="inlineStr"/>
      <c r="N58" s="10" t="inlineStr"/>
      <c r="O58" s="10" t="inlineStr"/>
      <c r="P58" s="11" t="inlineStr"/>
    </row>
    <row r="59">
      <c r="A59" s="3" t="inlineStr">
        <is>
          <t>BUS-04</t>
        </is>
      </c>
      <c r="B59" s="3" t="inlineStr">
        <is>
          <t>Commercial and warranty</t>
        </is>
      </c>
      <c r="C59" s="3" t="inlineStr">
        <is>
          <t>B</t>
        </is>
      </c>
      <c r="D59" s="3" t="inlineStr">
        <is>
          <t>N</t>
        </is>
      </c>
      <c r="E59" s="3" t="inlineStr">
        <is>
          <t>Provide reference projects or pilot installations relevant to similar façade orientation, climate, and operational profile.</t>
        </is>
      </c>
      <c r="F59" s="3" t="inlineStr">
        <is>
          <t>Useful for benchmarking and identifying hidden deployment constraints.</t>
        </is>
      </c>
      <c r="G59" s="3" t="inlineStr">
        <is>
          <t>Reference list</t>
        </is>
      </c>
      <c r="H59" s="3" t="inlineStr">
        <is>
          <t>Project list, contactability limits, installed dates</t>
        </is>
      </c>
      <c r="I59" s="3" t="inlineStr">
        <is>
          <t>S17,S19</t>
        </is>
      </c>
      <c r="J59" s="3" t="inlineStr"/>
      <c r="K59" s="10" t="inlineStr"/>
      <c r="L59" s="10" t="inlineStr"/>
      <c r="M59" s="10" t="inlineStr"/>
      <c r="N59" s="10" t="inlineStr"/>
      <c r="O59" s="10" t="inlineStr"/>
      <c r="P59" s="11" t="inlineStr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6" customWidth="1" min="3" max="3"/>
    <col width="26" customWidth="1" min="4" max="4"/>
    <col width="36" customWidth="1" min="5" max="5"/>
    <col width="12" customWidth="1" min="6" max="6"/>
    <col width="16" customWidth="1" min="7" max="7"/>
    <col width="26" customWidth="1" min="8" max="8"/>
  </cols>
  <sheetData>
    <row r="1">
      <c r="A1" s="4" t="inlineStr">
        <is>
          <t>Closure ID</t>
        </is>
      </c>
      <c r="B1" s="4" t="inlineStr">
        <is>
          <t>Type</t>
        </is>
      </c>
      <c r="C1" s="4" t="inlineStr">
        <is>
          <t>Statement</t>
        </is>
      </c>
      <c r="D1" s="4" t="inlineStr">
        <is>
          <t>Questions covering it</t>
        </is>
      </c>
      <c r="E1" s="4" t="inlineStr">
        <is>
          <t>Closure evidence required</t>
        </is>
      </c>
      <c r="F1" s="4" t="inlineStr">
        <is>
          <t>Status</t>
        </is>
      </c>
      <c r="G1" s="4" t="inlineStr">
        <is>
          <t>Owner</t>
        </is>
      </c>
      <c r="H1" s="4" t="inlineStr">
        <is>
          <t>Notes</t>
        </is>
      </c>
    </row>
    <row r="2">
      <c r="A2" s="3" t="inlineStr">
        <is>
          <t>A03</t>
        </is>
      </c>
      <c r="B2" s="3" t="inlineStr">
        <is>
          <t>Assumption</t>
        </is>
      </c>
      <c r="C2" s="3" t="inlineStr">
        <is>
          <t>Actual PV technology and stack used</t>
        </is>
      </c>
      <c r="D2" s="3" t="inlineStr">
        <is>
          <t>ELE-01,ELE-02,THM-03</t>
        </is>
      </c>
      <c r="E2" s="3" t="inlineStr">
        <is>
          <t>Datasheet + qualification matrix + product revision statement</t>
        </is>
      </c>
      <c r="F2" s="10" t="inlineStr"/>
      <c r="G2" s="10" t="inlineStr"/>
      <c r="H2" s="11" t="inlineStr"/>
    </row>
    <row r="3">
      <c r="A3" s="3" t="inlineStr">
        <is>
          <t>A04</t>
        </is>
      </c>
      <c r="B3" s="3" t="inlineStr">
        <is>
          <t>Assumption</t>
        </is>
      </c>
      <c r="C3" s="3" t="inlineStr">
        <is>
          <t>Blind in main IGU cavity vs dedicated chamber</t>
        </is>
      </c>
      <c r="D3" s="3" t="inlineStr">
        <is>
          <t>ARC-01,ARC-02,THM-01,THM-04</t>
        </is>
      </c>
      <c r="E3" s="3" t="inlineStr">
        <is>
          <t>Section drawing + chamber dimensions + environmental evidence</t>
        </is>
      </c>
      <c r="F3" s="10" t="inlineStr"/>
      <c r="G3" s="10" t="inlineStr"/>
      <c r="H3" s="11" t="inlineStr"/>
    </row>
    <row r="4">
      <c r="A4" s="3" t="inlineStr">
        <is>
          <t>A05</t>
        </is>
      </c>
      <c r="B4" s="3" t="inlineStr">
        <is>
          <t>Assumption</t>
        </is>
      </c>
      <c r="C4" s="3" t="inlineStr">
        <is>
          <t>Electrical feedthrough exits through frame edge</t>
        </is>
      </c>
      <c r="D4" s="3" t="inlineStr">
        <is>
          <t>ARC-01,ELE-10,REL-03</t>
        </is>
      </c>
      <c r="E4" s="3" t="inlineStr">
        <is>
          <t>Section/detail drawing + feedthrough qualification</t>
        </is>
      </c>
      <c r="F4" s="10" t="inlineStr"/>
      <c r="G4" s="10" t="inlineStr"/>
      <c r="H4" s="11" t="inlineStr"/>
    </row>
    <row r="5">
      <c r="A5" s="3" t="inlineStr">
        <is>
          <t>A06</t>
        </is>
      </c>
      <c r="B5" s="3" t="inlineStr">
        <is>
          <t>Assumption</t>
        </is>
      </c>
      <c r="C5" s="3" t="inlineStr">
        <is>
          <t>Actuation architecture is local vs grouped</t>
        </is>
      </c>
      <c r="D5" s="3" t="inlineStr">
        <is>
          <t>ARC-04,CTL-01,CTL-03</t>
        </is>
      </c>
      <c r="E5" s="3" t="inlineStr">
        <is>
          <t>Controls block diagram + actuator data</t>
        </is>
      </c>
      <c r="F5" s="10" t="inlineStr"/>
      <c r="G5" s="10" t="inlineStr"/>
      <c r="H5" s="11" t="inlineStr"/>
    </row>
    <row r="6">
      <c r="A6" s="3" t="inlineStr">
        <is>
          <t>A07</t>
        </is>
      </c>
      <c r="B6" s="3" t="inlineStr">
        <is>
          <t>Assumption</t>
        </is>
      </c>
      <c r="C6" s="3" t="inlineStr">
        <is>
          <t>Unit/group can be isolated and replaced without oversized outage</t>
        </is>
      </c>
      <c r="D6" s="3" t="inlineStr">
        <is>
          <t>ARC-03,ELE-08,REL-05,REL-06,COM-02</t>
        </is>
      </c>
      <c r="E6" s="3" t="inlineStr">
        <is>
          <t>Single-line + isolation procedure + replacement work instruction</t>
        </is>
      </c>
      <c r="F6" s="10" t="inlineStr"/>
      <c r="G6" s="10" t="inlineStr"/>
      <c r="H6" s="11" t="inlineStr"/>
    </row>
    <row r="7">
      <c r="A7" s="3" t="inlineStr">
        <is>
          <t>A08</t>
        </is>
      </c>
      <c r="B7" s="3" t="inlineStr">
        <is>
          <t>Assumption</t>
        </is>
      </c>
      <c r="C7" s="3" t="inlineStr">
        <is>
          <t>Temperature sensing/observability exists or can be inferred credibly</t>
        </is>
      </c>
      <c r="D7" s="3" t="inlineStr">
        <is>
          <t>CTL-02,THM-01,COM-03</t>
        </is>
      </c>
      <c r="E7" s="3" t="inlineStr">
        <is>
          <t>Point list + temperature evidence + acceptance limits</t>
        </is>
      </c>
      <c r="F7" s="10" t="inlineStr"/>
      <c r="G7" s="10" t="inlineStr"/>
      <c r="H7" s="11" t="inlineStr"/>
    </row>
    <row r="8">
      <c r="A8" s="3" t="inlineStr">
        <is>
          <t>A09</t>
        </is>
      </c>
      <c r="B8" s="3" t="inlineStr">
        <is>
          <t>Assumption</t>
        </is>
      </c>
      <c r="C8" s="3" t="inlineStr">
        <is>
          <t>Approved connector family and cable class exist for route/environment</t>
        </is>
      </c>
      <c r="D8" s="3" t="inlineStr">
        <is>
          <t>DOC-05,ELE-10,ELE-11,ELE-12</t>
        </is>
      </c>
      <c r="E8" s="3" t="inlineStr">
        <is>
          <t>Connector/cable schedule + datasheets + route limits</t>
        </is>
      </c>
      <c r="F8" s="10" t="inlineStr"/>
      <c r="G8" s="10" t="inlineStr"/>
      <c r="H8" s="11" t="inlineStr"/>
    </row>
    <row r="9">
      <c r="A9" s="3" t="inlineStr">
        <is>
          <t>A10</t>
        </is>
      </c>
      <c r="B9" s="3" t="inlineStr">
        <is>
          <t>Assumption</t>
        </is>
      </c>
      <c r="C9" s="3" t="inlineStr">
        <is>
          <t>Low-maintenance claim does not eliminate defined service procedures</t>
        </is>
      </c>
      <c r="D9" s="3" t="inlineStr">
        <is>
          <t>DOC-03,REL-06,REL-07,BUS-01,BUS-02</t>
        </is>
      </c>
      <c r="E9" s="3" t="inlineStr">
        <is>
          <t>Maintenance manual + replacement procedure + warranty exclusions</t>
        </is>
      </c>
      <c r="F9" s="10" t="inlineStr"/>
      <c r="G9" s="10" t="inlineStr"/>
      <c r="H9" s="11" t="inlineStr"/>
    </row>
    <row r="10">
      <c r="A10" s="3" t="inlineStr">
        <is>
          <t>S01</t>
        </is>
      </c>
      <c r="B10" s="3" t="inlineStr">
        <is>
          <t>Design row</t>
        </is>
      </c>
      <c r="C10" s="3" t="inlineStr">
        <is>
          <t>BIPV module as building product</t>
        </is>
      </c>
      <c r="D10" s="3" t="inlineStr">
        <is>
          <t>DOC-01,ARC-01,THM-07</t>
        </is>
      </c>
      <c r="E10" s="3" t="inlineStr">
        <is>
          <t>Datasheet + section drawing + building-product declarations</t>
        </is>
      </c>
      <c r="F10" s="10" t="inlineStr"/>
      <c r="G10" s="10" t="inlineStr"/>
      <c r="H10" s="11" t="inlineStr"/>
    </row>
    <row r="11">
      <c r="A11" s="3" t="inlineStr">
        <is>
          <t>S02</t>
        </is>
      </c>
      <c r="B11" s="3" t="inlineStr">
        <is>
          <t>Design row</t>
        </is>
      </c>
      <c r="C11" s="3" t="inlineStr">
        <is>
          <t>BIPV system in building</t>
        </is>
      </c>
      <c r="D11" s="3" t="inlineStr">
        <is>
          <t>ARC-01,ARC-02,ARC-05,THM-07</t>
        </is>
      </c>
      <c r="E11" s="3" t="inlineStr">
        <is>
          <t>Section/integration drawing + installation constraints</t>
        </is>
      </c>
      <c r="F11" s="10" t="inlineStr"/>
      <c r="G11" s="10" t="inlineStr"/>
      <c r="H11" s="11" t="inlineStr"/>
    </row>
    <row r="12">
      <c r="A12" s="3" t="inlineStr">
        <is>
          <t>S03</t>
        </is>
      </c>
      <c r="B12" s="3" t="inlineStr">
        <is>
          <t>Design row</t>
        </is>
      </c>
      <c r="C12" s="3" t="inlineStr">
        <is>
          <t>Array voltage envelope</t>
        </is>
      </c>
      <c r="D12" s="3" t="inlineStr">
        <is>
          <t>ELE-01,ELE-03,ELE-04,ELE-06</t>
        </is>
      </c>
      <c r="E12" s="3" t="inlineStr">
        <is>
          <t>Unit ratings + subdivision + aggregation limits</t>
        </is>
      </c>
      <c r="F12" s="10" t="inlineStr"/>
      <c r="G12" s="10" t="inlineStr"/>
      <c r="H12" s="11" t="inlineStr"/>
    </row>
    <row r="13">
      <c r="A13" s="3" t="inlineStr">
        <is>
          <t>S04</t>
        </is>
      </c>
      <c r="B13" s="3" t="inlineStr">
        <is>
          <t>Design row</t>
        </is>
      </c>
      <c r="C13" s="3" t="inlineStr">
        <is>
          <t>Array current envelope</t>
        </is>
      </c>
      <c r="D13" s="3" t="inlineStr">
        <is>
          <t>ELE-01,ELE-03,ELE-06</t>
        </is>
      </c>
      <c r="E13" s="3" t="inlineStr">
        <is>
          <t>Unit ratings + aggregation limits</t>
        </is>
      </c>
      <c r="F13" s="10" t="inlineStr"/>
      <c r="G13" s="10" t="inlineStr"/>
      <c r="H13" s="11" t="inlineStr"/>
    </row>
    <row r="14">
      <c r="A14" s="3" t="inlineStr">
        <is>
          <t>S05</t>
        </is>
      </c>
      <c r="B14" s="3" t="inlineStr">
        <is>
          <t>Design row</t>
        </is>
      </c>
      <c r="C14" s="3" t="inlineStr">
        <is>
          <t>MPPT compatibility and downstream topology</t>
        </is>
      </c>
      <c r="D14" s="3" t="inlineStr">
        <is>
          <t>ELE-05,ELE-06,ELE-07,BUS-02</t>
        </is>
      </c>
      <c r="E14" s="3" t="inlineStr">
        <is>
          <t>IV/PV curves + allowed architectures + exclusions</t>
        </is>
      </c>
      <c r="F14" s="10" t="inlineStr"/>
      <c r="G14" s="10" t="inlineStr"/>
      <c r="H14" s="11" t="inlineStr"/>
    </row>
    <row r="15">
      <c r="A15" s="3" t="inlineStr">
        <is>
          <t>S06</t>
        </is>
      </c>
      <c r="B15" s="3" t="inlineStr">
        <is>
          <t>Design row</t>
        </is>
      </c>
      <c r="C15" s="3" t="inlineStr">
        <is>
          <t>Disconnect / isolation boundary</t>
        </is>
      </c>
      <c r="D15" s="3" t="inlineStr">
        <is>
          <t>ELE-08,REL-06,COM-02</t>
        </is>
      </c>
      <c r="E15" s="3" t="inlineStr">
        <is>
          <t>Single-line + isolation procedure + recommissioning steps</t>
        </is>
      </c>
      <c r="F15" s="10" t="inlineStr"/>
      <c r="G15" s="10" t="inlineStr"/>
      <c r="H15" s="11" t="inlineStr"/>
    </row>
    <row r="16">
      <c r="A16" s="3" t="inlineStr">
        <is>
          <t>S07</t>
        </is>
      </c>
      <c r="B16" s="3" t="inlineStr">
        <is>
          <t>Design row</t>
        </is>
      </c>
      <c r="C16" s="3" t="inlineStr">
        <is>
          <t>Earthing / insulation monitoring</t>
        </is>
      </c>
      <c r="D16" s="3" t="inlineStr">
        <is>
          <t>ELE-09,ELE-13</t>
        </is>
      </c>
      <c r="E16" s="3" t="inlineStr">
        <is>
          <t>Protection concept + BOS responsibilities</t>
        </is>
      </c>
      <c r="F16" s="10" t="inlineStr"/>
      <c r="G16" s="10" t="inlineStr"/>
      <c r="H16" s="11" t="inlineStr"/>
    </row>
    <row r="17">
      <c r="A17" s="3" t="inlineStr">
        <is>
          <t>S08</t>
        </is>
      </c>
      <c r="B17" s="3" t="inlineStr">
        <is>
          <t>Design row</t>
        </is>
      </c>
      <c r="C17" s="3" t="inlineStr">
        <is>
          <t>Module construction safety</t>
        </is>
      </c>
      <c r="D17" s="3" t="inlineStr">
        <is>
          <t>ELE-02,THM-03</t>
        </is>
      </c>
      <c r="E17" s="3" t="inlineStr">
        <is>
          <t>Technology declaration + qualification basis</t>
        </is>
      </c>
      <c r="F17" s="10" t="inlineStr"/>
      <c r="G17" s="10" t="inlineStr"/>
      <c r="H17" s="11" t="inlineStr"/>
    </row>
    <row r="18">
      <c r="A18" s="3" t="inlineStr">
        <is>
          <t>S09</t>
        </is>
      </c>
      <c r="B18" s="3" t="inlineStr">
        <is>
          <t>Design row</t>
        </is>
      </c>
      <c r="C18" s="3" t="inlineStr">
        <is>
          <t>Module safety testing</t>
        </is>
      </c>
      <c r="D18" s="3" t="inlineStr">
        <is>
          <t>ELE-04,THM-03</t>
        </is>
      </c>
      <c r="E18" s="3" t="inlineStr">
        <is>
          <t>Bypass topology + safety/qualification reports</t>
        </is>
      </c>
      <c r="F18" s="10" t="inlineStr"/>
      <c r="G18" s="10" t="inlineStr"/>
      <c r="H18" s="11" t="inlineStr"/>
    </row>
    <row r="19">
      <c r="A19" s="3" t="inlineStr">
        <is>
          <t>S10</t>
        </is>
      </c>
      <c r="B19" s="3" t="inlineStr">
        <is>
          <t>Design row</t>
        </is>
      </c>
      <c r="C19" s="3" t="inlineStr">
        <is>
          <t>Module design qualification</t>
        </is>
      </c>
      <c r="D19" s="3" t="inlineStr">
        <is>
          <t>DOC-02,ELE-02,THM-03</t>
        </is>
      </c>
      <c r="E19" s="3" t="inlineStr">
        <is>
          <t>Revision delta + actual qualification evidence</t>
        </is>
      </c>
      <c r="F19" s="10" t="inlineStr"/>
      <c r="G19" s="10" t="inlineStr"/>
      <c r="H19" s="11" t="inlineStr"/>
    </row>
    <row r="20">
      <c r="A20" s="3" t="inlineStr">
        <is>
          <t>S11</t>
        </is>
      </c>
      <c r="B20" s="3" t="inlineStr">
        <is>
          <t>Design row</t>
        </is>
      </c>
      <c r="C20" s="3" t="inlineStr">
        <is>
          <t>High-temperature deployment trigger</t>
        </is>
      </c>
      <c r="D20" s="3" t="inlineStr">
        <is>
          <t>ARC-02,THM-01,THM-02,THM-03,THM-06</t>
        </is>
      </c>
      <c r="E20" s="3" t="inlineStr">
        <is>
          <t>Thermal evidence + limits + qualification path</t>
        </is>
      </c>
      <c r="F20" s="10" t="inlineStr"/>
      <c r="G20" s="10" t="inlineStr"/>
      <c r="H20" s="11" t="inlineStr"/>
    </row>
    <row r="21">
      <c r="A21" s="3" t="inlineStr">
        <is>
          <t>S12</t>
        </is>
      </c>
      <c r="B21" s="3" t="inlineStr">
        <is>
          <t>Design row</t>
        </is>
      </c>
      <c r="C21" s="3" t="inlineStr">
        <is>
          <t>Integrated electronics near PV</t>
        </is>
      </c>
      <c r="D21" s="3" t="inlineStr">
        <is>
          <t>DOC-05,ARC-04,ELE-07,ELE-09,CTL-01,CTL-03,THM-02</t>
        </is>
      </c>
      <c r="E21" s="3" t="inlineStr">
        <is>
          <t>BOM + architecture + protection + thermal limits</t>
        </is>
      </c>
      <c r="F21" s="10" t="inlineStr"/>
      <c r="G21" s="10" t="inlineStr"/>
      <c r="H21" s="11" t="inlineStr"/>
    </row>
    <row r="22">
      <c r="A22" s="3" t="inlineStr">
        <is>
          <t>S13</t>
        </is>
      </c>
      <c r="B22" s="3" t="inlineStr">
        <is>
          <t>Design row</t>
        </is>
      </c>
      <c r="C22" s="3" t="inlineStr">
        <is>
          <t>Junction / feedthrough interface</t>
        </is>
      </c>
      <c r="D22" s="3" t="inlineStr">
        <is>
          <t>ELE-10,REL-02,REL-03,THM-04</t>
        </is>
      </c>
      <c r="E22" s="3" t="inlineStr">
        <is>
          <t>Feedthrough detail + reliability evidence</t>
        </is>
      </c>
      <c r="F22" s="10" t="inlineStr"/>
      <c r="G22" s="10" t="inlineStr"/>
      <c r="H22" s="11" t="inlineStr"/>
    </row>
    <row r="23">
      <c r="A23" s="3" t="inlineStr">
        <is>
          <t>S14</t>
        </is>
      </c>
      <c r="B23" s="3" t="inlineStr">
        <is>
          <t>Design row</t>
        </is>
      </c>
      <c r="C23" s="3" t="inlineStr">
        <is>
          <t>Connector suitability</t>
        </is>
      </c>
      <c r="D23" s="3" t="inlineStr">
        <is>
          <t>ELE-11</t>
        </is>
      </c>
      <c r="E23" s="3" t="inlineStr">
        <is>
          <t>Connector schedule + mating rules</t>
        </is>
      </c>
      <c r="F23" s="10" t="inlineStr"/>
      <c r="G23" s="10" t="inlineStr"/>
      <c r="H23" s="11" t="inlineStr"/>
    </row>
    <row r="24">
      <c r="A24" s="3" t="inlineStr">
        <is>
          <t>S15</t>
        </is>
      </c>
      <c r="B24" s="3" t="inlineStr">
        <is>
          <t>Design row</t>
        </is>
      </c>
      <c r="C24" s="3" t="inlineStr">
        <is>
          <t>Cable suitability</t>
        </is>
      </c>
      <c r="D24" s="3" t="inlineStr">
        <is>
          <t>ELE-12,REL-02</t>
        </is>
      </c>
      <c r="E24" s="3" t="inlineStr">
        <is>
          <t>Cable schedule + route/flex evidence</t>
        </is>
      </c>
      <c r="F24" s="10" t="inlineStr"/>
      <c r="G24" s="10" t="inlineStr"/>
      <c r="H24" s="11" t="inlineStr"/>
    </row>
    <row r="25">
      <c r="A25" s="3" t="inlineStr">
        <is>
          <t>S16</t>
        </is>
      </c>
      <c r="B25" s="3" t="inlineStr">
        <is>
          <t>Design row</t>
        </is>
      </c>
      <c r="C25" s="3" t="inlineStr">
        <is>
          <t>Performance parameter basis</t>
        </is>
      </c>
      <c r="D25" s="3" t="inlineStr">
        <is>
          <t>DOC-01,ELE-01,ELE-05,THM-01</t>
        </is>
      </c>
      <c r="E25" s="3" t="inlineStr">
        <is>
          <t>Datasheet + IV/PV curves + thermal basis</t>
        </is>
      </c>
      <c r="F25" s="10" t="inlineStr"/>
      <c r="G25" s="10" t="inlineStr"/>
      <c r="H25" s="11" t="inlineStr"/>
    </row>
    <row r="26">
      <c r="A26" s="3" t="inlineStr">
        <is>
          <t>S17</t>
        </is>
      </c>
      <c r="B26" s="3" t="inlineStr">
        <is>
          <t>Design row</t>
        </is>
      </c>
      <c r="C26" s="3" t="inlineStr">
        <is>
          <t>Incidence-angle / operating-temperature basis</t>
        </is>
      </c>
      <c r="D26" s="3" t="inlineStr">
        <is>
          <t>ARC-02,ARC-05,ELE-05,THM-01,BUS-04</t>
        </is>
      </c>
      <c r="E26" s="3" t="inlineStr">
        <is>
          <t>Geometry constraints + representative performance evidence</t>
        </is>
      </c>
      <c r="F26" s="10" t="inlineStr"/>
      <c r="G26" s="10" t="inlineStr"/>
      <c r="H26" s="11" t="inlineStr"/>
    </row>
    <row r="27">
      <c r="A27" s="3" t="inlineStr">
        <is>
          <t>S18</t>
        </is>
      </c>
      <c r="B27" s="3" t="inlineStr">
        <is>
          <t>Design row</t>
        </is>
      </c>
      <c r="C27" s="3" t="inlineStr">
        <is>
          <t>Commissioning docs and tests</t>
        </is>
      </c>
      <c r="D27" s="3" t="inlineStr">
        <is>
          <t>DOC-03,ELE-08,CTL-02,CTL-07,COM-01,COM-02,COM-03,COM-04,COM-05,COM-06</t>
        </is>
      </c>
      <c r="E27" s="3" t="inlineStr">
        <is>
          <t>Commissioning pack + point list + event/acceptance data</t>
        </is>
      </c>
      <c r="F27" s="10" t="inlineStr"/>
      <c r="G27" s="10" t="inlineStr"/>
      <c r="H27" s="11" t="inlineStr"/>
    </row>
    <row r="28">
      <c r="A28" s="3" t="inlineStr">
        <is>
          <t>S19</t>
        </is>
      </c>
      <c r="B28" s="3" t="inlineStr">
        <is>
          <t>Design row</t>
        </is>
      </c>
      <c r="C28" s="3" t="inlineStr">
        <is>
          <t>Maintenance logic and serviceability</t>
        </is>
      </c>
      <c r="D28" s="3" t="inlineStr">
        <is>
          <t>ARC-03,ARC-04,ARC-06,ELE-12,CTL-05,REL-01,REL-02,REL-03,REL-05,REL-06,REL-07,REL-08,BUS-01,BUS-02,BUS-03</t>
        </is>
      </c>
      <c r="E28" s="3" t="inlineStr">
        <is>
          <t>Replacement, maintenance, reliability, warranty evidence</t>
        </is>
      </c>
      <c r="F28" s="10" t="inlineStr"/>
      <c r="G28" s="10" t="inlineStr"/>
      <c r="H28" s="11" t="inlineStr"/>
    </row>
    <row r="29">
      <c r="A29" s="3" t="inlineStr">
        <is>
          <t>S20</t>
        </is>
      </c>
      <c r="B29" s="3" t="inlineStr">
        <is>
          <t>Design row</t>
        </is>
      </c>
      <c r="C29" s="3" t="inlineStr">
        <is>
          <t>Thermal inspection / diagnostic pathway</t>
        </is>
      </c>
      <c r="D29" s="3" t="inlineStr">
        <is>
          <t>ELE-14,THM-05,COM-03,COM-05</t>
        </is>
      </c>
      <c r="E29" s="3" t="inlineStr">
        <is>
          <t>Fault signatures + thermography guidance + acceptance limits</t>
        </is>
      </c>
      <c r="F29" s="10" t="inlineStr"/>
      <c r="G29" s="10" t="inlineStr"/>
      <c r="H29" s="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8" customWidth="1" min="3" max="3"/>
    <col width="9" customWidth="1" min="4" max="4"/>
    <col width="8" customWidth="1" min="5" max="5"/>
    <col width="17" customWidth="1" min="6" max="6"/>
    <col width="18" customWidth="1" min="7" max="7"/>
    <col width="18" customWidth="1" min="8" max="8"/>
    <col width="24" customWidth="1" min="9" max="9"/>
    <col width="14" customWidth="1" min="10" max="10"/>
    <col width="13" customWidth="1" min="11" max="11"/>
    <col width="18" customWidth="1" min="12" max="12"/>
    <col width="28" customWidth="1" min="13" max="13"/>
  </cols>
  <sheetData>
    <row r="1">
      <c r="A1" s="4" t="inlineStr">
        <is>
          <t>ID</t>
        </is>
      </c>
      <c r="B1" s="4" t="inlineStr">
        <is>
          <t>Section</t>
        </is>
      </c>
      <c r="C1" s="4" t="inlineStr">
        <is>
          <t>Priority</t>
        </is>
      </c>
      <c r="D1" s="4" t="inlineStr">
        <is>
          <t>Knockout</t>
        </is>
      </c>
      <c r="E1" s="4" t="inlineStr">
        <is>
          <t>Weight</t>
        </is>
      </c>
      <c r="F1" s="4" t="inlineStr">
        <is>
          <t>Completeness (0-5)</t>
        </is>
      </c>
      <c r="G1" s="4" t="inlineStr">
        <is>
          <t>Evidence quality (0-5)</t>
        </is>
      </c>
      <c r="H1" s="4" t="inlineStr">
        <is>
          <t>Technical adequacy (0-5)</t>
        </is>
      </c>
      <c r="I1" s="4" t="inlineStr">
        <is>
          <t>Residual risk (0-5, higher=worse)</t>
        </is>
      </c>
      <c r="J1" s="4" t="inlineStr">
        <is>
          <t>Weighted score</t>
        </is>
      </c>
      <c r="K1" s="4" t="inlineStr">
        <is>
          <t>Knockout fail?</t>
        </is>
      </c>
      <c r="L1" s="4" t="inlineStr">
        <is>
          <t>Reviewer decision</t>
        </is>
      </c>
      <c r="M1" s="4" t="inlineStr">
        <is>
          <t>Reviewer notes</t>
        </is>
      </c>
    </row>
    <row r="2">
      <c r="A2" s="3">
        <f>Questionnaire!A2</f>
        <v/>
      </c>
      <c r="B2" s="3">
        <f>Questionnaire!B2</f>
        <v/>
      </c>
      <c r="C2" s="3">
        <f>Questionnaire!C2</f>
        <v/>
      </c>
      <c r="D2" s="3">
        <f>Questionnaire!D2</f>
        <v/>
      </c>
      <c r="E2" s="3">
        <f>IF(C2="A",5,3)</f>
        <v/>
      </c>
      <c r="F2" s="10" t="inlineStr"/>
      <c r="G2" s="10" t="inlineStr"/>
      <c r="H2" s="10" t="inlineStr"/>
      <c r="I2" s="10" t="inlineStr"/>
      <c r="J2" s="12">
        <f>IF(COUNTA(F2:I2)&lt;4,"",E2*MAX(0,AVERAGE(F2:H2)-0.5*I2))</f>
        <v/>
      </c>
      <c r="K2" s="3">
        <f>IF(COUNTA(F2:H2)&lt;3,"",IF(AND(D2="Y",OR(F2&lt;3,G2&lt;3,H2&lt;3)),"FAIL",""))</f>
        <v/>
      </c>
      <c r="L2" s="10" t="inlineStr"/>
      <c r="M2" s="11" t="inlineStr"/>
    </row>
    <row r="3">
      <c r="A3" s="3">
        <f>Questionnaire!A3</f>
        <v/>
      </c>
      <c r="B3" s="3">
        <f>Questionnaire!B3</f>
        <v/>
      </c>
      <c r="C3" s="3">
        <f>Questionnaire!C3</f>
        <v/>
      </c>
      <c r="D3" s="3">
        <f>Questionnaire!D3</f>
        <v/>
      </c>
      <c r="E3" s="3">
        <f>IF(C3="A",5,3)</f>
        <v/>
      </c>
      <c r="F3" s="10" t="inlineStr"/>
      <c r="G3" s="10" t="inlineStr"/>
      <c r="H3" s="10" t="inlineStr"/>
      <c r="I3" s="10" t="inlineStr"/>
      <c r="J3" s="12">
        <f>IF(COUNTA(F3:I3)&lt;4,"",E3*MAX(0,AVERAGE(F3:H3)-0.5*I3))</f>
        <v/>
      </c>
      <c r="K3" s="3">
        <f>IF(COUNTA(F3:H3)&lt;3,"",IF(AND(D3="Y",OR(F3&lt;3,G3&lt;3,H3&lt;3)),"FAIL",""))</f>
        <v/>
      </c>
      <c r="L3" s="10" t="inlineStr"/>
      <c r="M3" s="11" t="inlineStr"/>
    </row>
    <row r="4">
      <c r="A4" s="3">
        <f>Questionnaire!A4</f>
        <v/>
      </c>
      <c r="B4" s="3">
        <f>Questionnaire!B4</f>
        <v/>
      </c>
      <c r="C4" s="3">
        <f>Questionnaire!C4</f>
        <v/>
      </c>
      <c r="D4" s="3">
        <f>Questionnaire!D4</f>
        <v/>
      </c>
      <c r="E4" s="3">
        <f>IF(C4="A",5,3)</f>
        <v/>
      </c>
      <c r="F4" s="10" t="inlineStr"/>
      <c r="G4" s="10" t="inlineStr"/>
      <c r="H4" s="10" t="inlineStr"/>
      <c r="I4" s="10" t="inlineStr"/>
      <c r="J4" s="12">
        <f>IF(COUNTA(F4:I4)&lt;4,"",E4*MAX(0,AVERAGE(F4:H4)-0.5*I4))</f>
        <v/>
      </c>
      <c r="K4" s="3">
        <f>IF(COUNTA(F4:H4)&lt;3,"",IF(AND(D4="Y",OR(F4&lt;3,G4&lt;3,H4&lt;3)),"FAIL",""))</f>
        <v/>
      </c>
      <c r="L4" s="10" t="inlineStr"/>
      <c r="M4" s="11" t="inlineStr"/>
    </row>
    <row r="5">
      <c r="A5" s="3">
        <f>Questionnaire!A5</f>
        <v/>
      </c>
      <c r="B5" s="3">
        <f>Questionnaire!B5</f>
        <v/>
      </c>
      <c r="C5" s="3">
        <f>Questionnaire!C5</f>
        <v/>
      </c>
      <c r="D5" s="3">
        <f>Questionnaire!D5</f>
        <v/>
      </c>
      <c r="E5" s="3">
        <f>IF(C5="A",5,3)</f>
        <v/>
      </c>
      <c r="F5" s="10" t="inlineStr"/>
      <c r="G5" s="10" t="inlineStr"/>
      <c r="H5" s="10" t="inlineStr"/>
      <c r="I5" s="10" t="inlineStr"/>
      <c r="J5" s="12">
        <f>IF(COUNTA(F5:I5)&lt;4,"",E5*MAX(0,AVERAGE(F5:H5)-0.5*I5))</f>
        <v/>
      </c>
      <c r="K5" s="3">
        <f>IF(COUNTA(F5:H5)&lt;3,"",IF(AND(D5="Y",OR(F5&lt;3,G5&lt;3,H5&lt;3)),"FAIL",""))</f>
        <v/>
      </c>
      <c r="L5" s="10" t="inlineStr"/>
      <c r="M5" s="11" t="inlineStr"/>
    </row>
    <row r="6">
      <c r="A6" s="3">
        <f>Questionnaire!A6</f>
        <v/>
      </c>
      <c r="B6" s="3">
        <f>Questionnaire!B6</f>
        <v/>
      </c>
      <c r="C6" s="3">
        <f>Questionnaire!C6</f>
        <v/>
      </c>
      <c r="D6" s="3">
        <f>Questionnaire!D6</f>
        <v/>
      </c>
      <c r="E6" s="3">
        <f>IF(C6="A",5,3)</f>
        <v/>
      </c>
      <c r="F6" s="10" t="inlineStr"/>
      <c r="G6" s="10" t="inlineStr"/>
      <c r="H6" s="10" t="inlineStr"/>
      <c r="I6" s="10" t="inlineStr"/>
      <c r="J6" s="12">
        <f>IF(COUNTA(F6:I6)&lt;4,"",E6*MAX(0,AVERAGE(F6:H6)-0.5*I6))</f>
        <v/>
      </c>
      <c r="K6" s="3">
        <f>IF(COUNTA(F6:H6)&lt;3,"",IF(AND(D6="Y",OR(F6&lt;3,G6&lt;3,H6&lt;3)),"FAIL",""))</f>
        <v/>
      </c>
      <c r="L6" s="10" t="inlineStr"/>
      <c r="M6" s="11" t="inlineStr"/>
    </row>
    <row r="7">
      <c r="A7" s="3">
        <f>Questionnaire!A7</f>
        <v/>
      </c>
      <c r="B7" s="3">
        <f>Questionnaire!B7</f>
        <v/>
      </c>
      <c r="C7" s="3">
        <f>Questionnaire!C7</f>
        <v/>
      </c>
      <c r="D7" s="3">
        <f>Questionnaire!D7</f>
        <v/>
      </c>
      <c r="E7" s="3">
        <f>IF(C7="A",5,3)</f>
        <v/>
      </c>
      <c r="F7" s="10" t="inlineStr"/>
      <c r="G7" s="10" t="inlineStr"/>
      <c r="H7" s="10" t="inlineStr"/>
      <c r="I7" s="10" t="inlineStr"/>
      <c r="J7" s="12">
        <f>IF(COUNTA(F7:I7)&lt;4,"",E7*MAX(0,AVERAGE(F7:H7)-0.5*I7))</f>
        <v/>
      </c>
      <c r="K7" s="3">
        <f>IF(COUNTA(F7:H7)&lt;3,"",IF(AND(D7="Y",OR(F7&lt;3,G7&lt;3,H7&lt;3)),"FAIL",""))</f>
        <v/>
      </c>
      <c r="L7" s="10" t="inlineStr"/>
      <c r="M7" s="11" t="inlineStr"/>
    </row>
    <row r="8">
      <c r="A8" s="3">
        <f>Questionnaire!A8</f>
        <v/>
      </c>
      <c r="B8" s="3">
        <f>Questionnaire!B8</f>
        <v/>
      </c>
      <c r="C8" s="3">
        <f>Questionnaire!C8</f>
        <v/>
      </c>
      <c r="D8" s="3">
        <f>Questionnaire!D8</f>
        <v/>
      </c>
      <c r="E8" s="3">
        <f>IF(C8="A",5,3)</f>
        <v/>
      </c>
      <c r="F8" s="10" t="inlineStr"/>
      <c r="G8" s="10" t="inlineStr"/>
      <c r="H8" s="10" t="inlineStr"/>
      <c r="I8" s="10" t="inlineStr"/>
      <c r="J8" s="12">
        <f>IF(COUNTA(F8:I8)&lt;4,"",E8*MAX(0,AVERAGE(F8:H8)-0.5*I8))</f>
        <v/>
      </c>
      <c r="K8" s="3">
        <f>IF(COUNTA(F8:H8)&lt;3,"",IF(AND(D8="Y",OR(F8&lt;3,G8&lt;3,H8&lt;3)),"FAIL",""))</f>
        <v/>
      </c>
      <c r="L8" s="10" t="inlineStr"/>
      <c r="M8" s="11" t="inlineStr"/>
    </row>
    <row r="9">
      <c r="A9" s="3">
        <f>Questionnaire!A9</f>
        <v/>
      </c>
      <c r="B9" s="3">
        <f>Questionnaire!B9</f>
        <v/>
      </c>
      <c r="C9" s="3">
        <f>Questionnaire!C9</f>
        <v/>
      </c>
      <c r="D9" s="3">
        <f>Questionnaire!D9</f>
        <v/>
      </c>
      <c r="E9" s="3">
        <f>IF(C9="A",5,3)</f>
        <v/>
      </c>
      <c r="F9" s="10" t="inlineStr"/>
      <c r="G9" s="10" t="inlineStr"/>
      <c r="H9" s="10" t="inlineStr"/>
      <c r="I9" s="10" t="inlineStr"/>
      <c r="J9" s="12">
        <f>IF(COUNTA(F9:I9)&lt;4,"",E9*MAX(0,AVERAGE(F9:H9)-0.5*I9))</f>
        <v/>
      </c>
      <c r="K9" s="3">
        <f>IF(COUNTA(F9:H9)&lt;3,"",IF(AND(D9="Y",OR(F9&lt;3,G9&lt;3,H9&lt;3)),"FAIL",""))</f>
        <v/>
      </c>
      <c r="L9" s="10" t="inlineStr"/>
      <c r="M9" s="11" t="inlineStr"/>
    </row>
    <row r="10">
      <c r="A10" s="3">
        <f>Questionnaire!A10</f>
        <v/>
      </c>
      <c r="B10" s="3">
        <f>Questionnaire!B10</f>
        <v/>
      </c>
      <c r="C10" s="3">
        <f>Questionnaire!C10</f>
        <v/>
      </c>
      <c r="D10" s="3">
        <f>Questionnaire!D10</f>
        <v/>
      </c>
      <c r="E10" s="3">
        <f>IF(C10="A",5,3)</f>
        <v/>
      </c>
      <c r="F10" s="10" t="inlineStr"/>
      <c r="G10" s="10" t="inlineStr"/>
      <c r="H10" s="10" t="inlineStr"/>
      <c r="I10" s="10" t="inlineStr"/>
      <c r="J10" s="12">
        <f>IF(COUNTA(F10:I10)&lt;4,"",E10*MAX(0,AVERAGE(F10:H10)-0.5*I10))</f>
        <v/>
      </c>
      <c r="K10" s="3">
        <f>IF(COUNTA(F10:H10)&lt;3,"",IF(AND(D10="Y",OR(F10&lt;3,G10&lt;3,H10&lt;3)),"FAIL",""))</f>
        <v/>
      </c>
      <c r="L10" s="10" t="inlineStr"/>
      <c r="M10" s="11" t="inlineStr"/>
    </row>
    <row r="11">
      <c r="A11" s="3">
        <f>Questionnaire!A11</f>
        <v/>
      </c>
      <c r="B11" s="3">
        <f>Questionnaire!B11</f>
        <v/>
      </c>
      <c r="C11" s="3">
        <f>Questionnaire!C11</f>
        <v/>
      </c>
      <c r="D11" s="3">
        <f>Questionnaire!D11</f>
        <v/>
      </c>
      <c r="E11" s="3">
        <f>IF(C11="A",5,3)</f>
        <v/>
      </c>
      <c r="F11" s="10" t="inlineStr"/>
      <c r="G11" s="10" t="inlineStr"/>
      <c r="H11" s="10" t="inlineStr"/>
      <c r="I11" s="10" t="inlineStr"/>
      <c r="J11" s="12">
        <f>IF(COUNTA(F11:I11)&lt;4,"",E11*MAX(0,AVERAGE(F11:H11)-0.5*I11))</f>
        <v/>
      </c>
      <c r="K11" s="3">
        <f>IF(COUNTA(F11:H11)&lt;3,"",IF(AND(D11="Y",OR(F11&lt;3,G11&lt;3,H11&lt;3)),"FAIL",""))</f>
        <v/>
      </c>
      <c r="L11" s="10" t="inlineStr"/>
      <c r="M11" s="11" t="inlineStr"/>
    </row>
    <row r="12">
      <c r="A12" s="3">
        <f>Questionnaire!A12</f>
        <v/>
      </c>
      <c r="B12" s="3">
        <f>Questionnaire!B12</f>
        <v/>
      </c>
      <c r="C12" s="3">
        <f>Questionnaire!C12</f>
        <v/>
      </c>
      <c r="D12" s="3">
        <f>Questionnaire!D12</f>
        <v/>
      </c>
      <c r="E12" s="3">
        <f>IF(C12="A",5,3)</f>
        <v/>
      </c>
      <c r="F12" s="10" t="inlineStr"/>
      <c r="G12" s="10" t="inlineStr"/>
      <c r="H12" s="10" t="inlineStr"/>
      <c r="I12" s="10" t="inlineStr"/>
      <c r="J12" s="12">
        <f>IF(COUNTA(F12:I12)&lt;4,"",E12*MAX(0,AVERAGE(F12:H12)-0.5*I12))</f>
        <v/>
      </c>
      <c r="K12" s="3">
        <f>IF(COUNTA(F12:H12)&lt;3,"",IF(AND(D12="Y",OR(F12&lt;3,G12&lt;3,H12&lt;3)),"FAIL",""))</f>
        <v/>
      </c>
      <c r="L12" s="10" t="inlineStr"/>
      <c r="M12" s="11" t="inlineStr"/>
    </row>
    <row r="13">
      <c r="A13" s="3">
        <f>Questionnaire!A13</f>
        <v/>
      </c>
      <c r="B13" s="3">
        <f>Questionnaire!B13</f>
        <v/>
      </c>
      <c r="C13" s="3">
        <f>Questionnaire!C13</f>
        <v/>
      </c>
      <c r="D13" s="3">
        <f>Questionnaire!D13</f>
        <v/>
      </c>
      <c r="E13" s="3">
        <f>IF(C13="A",5,3)</f>
        <v/>
      </c>
      <c r="F13" s="10" t="inlineStr"/>
      <c r="G13" s="10" t="inlineStr"/>
      <c r="H13" s="10" t="inlineStr"/>
      <c r="I13" s="10" t="inlineStr"/>
      <c r="J13" s="12">
        <f>IF(COUNTA(F13:I13)&lt;4,"",E13*MAX(0,AVERAGE(F13:H13)-0.5*I13))</f>
        <v/>
      </c>
      <c r="K13" s="3">
        <f>IF(COUNTA(F13:H13)&lt;3,"",IF(AND(D13="Y",OR(F13&lt;3,G13&lt;3,H13&lt;3)),"FAIL",""))</f>
        <v/>
      </c>
      <c r="L13" s="10" t="inlineStr"/>
      <c r="M13" s="11" t="inlineStr"/>
    </row>
    <row r="14">
      <c r="A14" s="3">
        <f>Questionnaire!A14</f>
        <v/>
      </c>
      <c r="B14" s="3">
        <f>Questionnaire!B14</f>
        <v/>
      </c>
      <c r="C14" s="3">
        <f>Questionnaire!C14</f>
        <v/>
      </c>
      <c r="D14" s="3">
        <f>Questionnaire!D14</f>
        <v/>
      </c>
      <c r="E14" s="3">
        <f>IF(C14="A",5,3)</f>
        <v/>
      </c>
      <c r="F14" s="10" t="inlineStr"/>
      <c r="G14" s="10" t="inlineStr"/>
      <c r="H14" s="10" t="inlineStr"/>
      <c r="I14" s="10" t="inlineStr"/>
      <c r="J14" s="12">
        <f>IF(COUNTA(F14:I14)&lt;4,"",E14*MAX(0,AVERAGE(F14:H14)-0.5*I14))</f>
        <v/>
      </c>
      <c r="K14" s="3">
        <f>IF(COUNTA(F14:H14)&lt;3,"",IF(AND(D14="Y",OR(F14&lt;3,G14&lt;3,H14&lt;3)),"FAIL",""))</f>
        <v/>
      </c>
      <c r="L14" s="10" t="inlineStr"/>
      <c r="M14" s="11" t="inlineStr"/>
    </row>
    <row r="15">
      <c r="A15" s="3">
        <f>Questionnaire!A15</f>
        <v/>
      </c>
      <c r="B15" s="3">
        <f>Questionnaire!B15</f>
        <v/>
      </c>
      <c r="C15" s="3">
        <f>Questionnaire!C15</f>
        <v/>
      </c>
      <c r="D15" s="3">
        <f>Questionnaire!D15</f>
        <v/>
      </c>
      <c r="E15" s="3">
        <f>IF(C15="A",5,3)</f>
        <v/>
      </c>
      <c r="F15" s="10" t="inlineStr"/>
      <c r="G15" s="10" t="inlineStr"/>
      <c r="H15" s="10" t="inlineStr"/>
      <c r="I15" s="10" t="inlineStr"/>
      <c r="J15" s="12">
        <f>IF(COUNTA(F15:I15)&lt;4,"",E15*MAX(0,AVERAGE(F15:H15)-0.5*I15))</f>
        <v/>
      </c>
      <c r="K15" s="3">
        <f>IF(COUNTA(F15:H15)&lt;3,"",IF(AND(D15="Y",OR(F15&lt;3,G15&lt;3,H15&lt;3)),"FAIL",""))</f>
        <v/>
      </c>
      <c r="L15" s="10" t="inlineStr"/>
      <c r="M15" s="11" t="inlineStr"/>
    </row>
    <row r="16">
      <c r="A16" s="3">
        <f>Questionnaire!A16</f>
        <v/>
      </c>
      <c r="B16" s="3">
        <f>Questionnaire!B16</f>
        <v/>
      </c>
      <c r="C16" s="3">
        <f>Questionnaire!C16</f>
        <v/>
      </c>
      <c r="D16" s="3">
        <f>Questionnaire!D16</f>
        <v/>
      </c>
      <c r="E16" s="3">
        <f>IF(C16="A",5,3)</f>
        <v/>
      </c>
      <c r="F16" s="10" t="inlineStr"/>
      <c r="G16" s="10" t="inlineStr"/>
      <c r="H16" s="10" t="inlineStr"/>
      <c r="I16" s="10" t="inlineStr"/>
      <c r="J16" s="12">
        <f>IF(COUNTA(F16:I16)&lt;4,"",E16*MAX(0,AVERAGE(F16:H16)-0.5*I16))</f>
        <v/>
      </c>
      <c r="K16" s="3">
        <f>IF(COUNTA(F16:H16)&lt;3,"",IF(AND(D16="Y",OR(F16&lt;3,G16&lt;3,H16&lt;3)),"FAIL",""))</f>
        <v/>
      </c>
      <c r="L16" s="10" t="inlineStr"/>
      <c r="M16" s="11" t="inlineStr"/>
    </row>
    <row r="17">
      <c r="A17" s="3">
        <f>Questionnaire!A17</f>
        <v/>
      </c>
      <c r="B17" s="3">
        <f>Questionnaire!B17</f>
        <v/>
      </c>
      <c r="C17" s="3">
        <f>Questionnaire!C17</f>
        <v/>
      </c>
      <c r="D17" s="3">
        <f>Questionnaire!D17</f>
        <v/>
      </c>
      <c r="E17" s="3">
        <f>IF(C17="A",5,3)</f>
        <v/>
      </c>
      <c r="F17" s="10" t="inlineStr"/>
      <c r="G17" s="10" t="inlineStr"/>
      <c r="H17" s="10" t="inlineStr"/>
      <c r="I17" s="10" t="inlineStr"/>
      <c r="J17" s="12">
        <f>IF(COUNTA(F17:I17)&lt;4,"",E17*MAX(0,AVERAGE(F17:H17)-0.5*I17))</f>
        <v/>
      </c>
      <c r="K17" s="3">
        <f>IF(COUNTA(F17:H17)&lt;3,"",IF(AND(D17="Y",OR(F17&lt;3,G17&lt;3,H17&lt;3)),"FAIL",""))</f>
        <v/>
      </c>
      <c r="L17" s="10" t="inlineStr"/>
      <c r="M17" s="11" t="inlineStr"/>
    </row>
    <row r="18">
      <c r="A18" s="3">
        <f>Questionnaire!A18</f>
        <v/>
      </c>
      <c r="B18" s="3">
        <f>Questionnaire!B18</f>
        <v/>
      </c>
      <c r="C18" s="3">
        <f>Questionnaire!C18</f>
        <v/>
      </c>
      <c r="D18" s="3">
        <f>Questionnaire!D18</f>
        <v/>
      </c>
      <c r="E18" s="3">
        <f>IF(C18="A",5,3)</f>
        <v/>
      </c>
      <c r="F18" s="10" t="inlineStr"/>
      <c r="G18" s="10" t="inlineStr"/>
      <c r="H18" s="10" t="inlineStr"/>
      <c r="I18" s="10" t="inlineStr"/>
      <c r="J18" s="12">
        <f>IF(COUNTA(F18:I18)&lt;4,"",E18*MAX(0,AVERAGE(F18:H18)-0.5*I18))</f>
        <v/>
      </c>
      <c r="K18" s="3">
        <f>IF(COUNTA(F18:H18)&lt;3,"",IF(AND(D18="Y",OR(F18&lt;3,G18&lt;3,H18&lt;3)),"FAIL",""))</f>
        <v/>
      </c>
      <c r="L18" s="10" t="inlineStr"/>
      <c r="M18" s="11" t="inlineStr"/>
    </row>
    <row r="19">
      <c r="A19" s="3">
        <f>Questionnaire!A19</f>
        <v/>
      </c>
      <c r="B19" s="3">
        <f>Questionnaire!B19</f>
        <v/>
      </c>
      <c r="C19" s="3">
        <f>Questionnaire!C19</f>
        <v/>
      </c>
      <c r="D19" s="3">
        <f>Questionnaire!D19</f>
        <v/>
      </c>
      <c r="E19" s="3">
        <f>IF(C19="A",5,3)</f>
        <v/>
      </c>
      <c r="F19" s="10" t="inlineStr"/>
      <c r="G19" s="10" t="inlineStr"/>
      <c r="H19" s="10" t="inlineStr"/>
      <c r="I19" s="10" t="inlineStr"/>
      <c r="J19" s="12">
        <f>IF(COUNTA(F19:I19)&lt;4,"",E19*MAX(0,AVERAGE(F19:H19)-0.5*I19))</f>
        <v/>
      </c>
      <c r="K19" s="3">
        <f>IF(COUNTA(F19:H19)&lt;3,"",IF(AND(D19="Y",OR(F19&lt;3,G19&lt;3,H19&lt;3)),"FAIL",""))</f>
        <v/>
      </c>
      <c r="L19" s="10" t="inlineStr"/>
      <c r="M19" s="11" t="inlineStr"/>
    </row>
    <row r="20">
      <c r="A20" s="3">
        <f>Questionnaire!A20</f>
        <v/>
      </c>
      <c r="B20" s="3">
        <f>Questionnaire!B20</f>
        <v/>
      </c>
      <c r="C20" s="3">
        <f>Questionnaire!C20</f>
        <v/>
      </c>
      <c r="D20" s="3">
        <f>Questionnaire!D20</f>
        <v/>
      </c>
      <c r="E20" s="3">
        <f>IF(C20="A",5,3)</f>
        <v/>
      </c>
      <c r="F20" s="10" t="inlineStr"/>
      <c r="G20" s="10" t="inlineStr"/>
      <c r="H20" s="10" t="inlineStr"/>
      <c r="I20" s="10" t="inlineStr"/>
      <c r="J20" s="12">
        <f>IF(COUNTA(F20:I20)&lt;4,"",E20*MAX(0,AVERAGE(F20:H20)-0.5*I20))</f>
        <v/>
      </c>
      <c r="K20" s="3">
        <f>IF(COUNTA(F20:H20)&lt;3,"",IF(AND(D20="Y",OR(F20&lt;3,G20&lt;3,H20&lt;3)),"FAIL",""))</f>
        <v/>
      </c>
      <c r="L20" s="10" t="inlineStr"/>
      <c r="M20" s="11" t="inlineStr"/>
    </row>
    <row r="21">
      <c r="A21" s="3">
        <f>Questionnaire!A21</f>
        <v/>
      </c>
      <c r="B21" s="3">
        <f>Questionnaire!B21</f>
        <v/>
      </c>
      <c r="C21" s="3">
        <f>Questionnaire!C21</f>
        <v/>
      </c>
      <c r="D21" s="3">
        <f>Questionnaire!D21</f>
        <v/>
      </c>
      <c r="E21" s="3">
        <f>IF(C21="A",5,3)</f>
        <v/>
      </c>
      <c r="F21" s="10" t="inlineStr"/>
      <c r="G21" s="10" t="inlineStr"/>
      <c r="H21" s="10" t="inlineStr"/>
      <c r="I21" s="10" t="inlineStr"/>
      <c r="J21" s="12">
        <f>IF(COUNTA(F21:I21)&lt;4,"",E21*MAX(0,AVERAGE(F21:H21)-0.5*I21))</f>
        <v/>
      </c>
      <c r="K21" s="3">
        <f>IF(COUNTA(F21:H21)&lt;3,"",IF(AND(D21="Y",OR(F21&lt;3,G21&lt;3,H21&lt;3)),"FAIL",""))</f>
        <v/>
      </c>
      <c r="L21" s="10" t="inlineStr"/>
      <c r="M21" s="11" t="inlineStr"/>
    </row>
    <row r="22">
      <c r="A22" s="3">
        <f>Questionnaire!A22</f>
        <v/>
      </c>
      <c r="B22" s="3">
        <f>Questionnaire!B22</f>
        <v/>
      </c>
      <c r="C22" s="3">
        <f>Questionnaire!C22</f>
        <v/>
      </c>
      <c r="D22" s="3">
        <f>Questionnaire!D22</f>
        <v/>
      </c>
      <c r="E22" s="3">
        <f>IF(C22="A",5,3)</f>
        <v/>
      </c>
      <c r="F22" s="10" t="inlineStr"/>
      <c r="G22" s="10" t="inlineStr"/>
      <c r="H22" s="10" t="inlineStr"/>
      <c r="I22" s="10" t="inlineStr"/>
      <c r="J22" s="12">
        <f>IF(COUNTA(F22:I22)&lt;4,"",E22*MAX(0,AVERAGE(F22:H22)-0.5*I22))</f>
        <v/>
      </c>
      <c r="K22" s="3">
        <f>IF(COUNTA(F22:H22)&lt;3,"",IF(AND(D22="Y",OR(F22&lt;3,G22&lt;3,H22&lt;3)),"FAIL",""))</f>
        <v/>
      </c>
      <c r="L22" s="10" t="inlineStr"/>
      <c r="M22" s="11" t="inlineStr"/>
    </row>
    <row r="23">
      <c r="A23" s="3">
        <f>Questionnaire!A23</f>
        <v/>
      </c>
      <c r="B23" s="3">
        <f>Questionnaire!B23</f>
        <v/>
      </c>
      <c r="C23" s="3">
        <f>Questionnaire!C23</f>
        <v/>
      </c>
      <c r="D23" s="3">
        <f>Questionnaire!D23</f>
        <v/>
      </c>
      <c r="E23" s="3">
        <f>IF(C23="A",5,3)</f>
        <v/>
      </c>
      <c r="F23" s="10" t="inlineStr"/>
      <c r="G23" s="10" t="inlineStr"/>
      <c r="H23" s="10" t="inlineStr"/>
      <c r="I23" s="10" t="inlineStr"/>
      <c r="J23" s="12">
        <f>IF(COUNTA(F23:I23)&lt;4,"",E23*MAX(0,AVERAGE(F23:H23)-0.5*I23))</f>
        <v/>
      </c>
      <c r="K23" s="3">
        <f>IF(COUNTA(F23:H23)&lt;3,"",IF(AND(D23="Y",OR(F23&lt;3,G23&lt;3,H23&lt;3)),"FAIL",""))</f>
        <v/>
      </c>
      <c r="L23" s="10" t="inlineStr"/>
      <c r="M23" s="11" t="inlineStr"/>
    </row>
    <row r="24">
      <c r="A24" s="3">
        <f>Questionnaire!A24</f>
        <v/>
      </c>
      <c r="B24" s="3">
        <f>Questionnaire!B24</f>
        <v/>
      </c>
      <c r="C24" s="3">
        <f>Questionnaire!C24</f>
        <v/>
      </c>
      <c r="D24" s="3">
        <f>Questionnaire!D24</f>
        <v/>
      </c>
      <c r="E24" s="3">
        <f>IF(C24="A",5,3)</f>
        <v/>
      </c>
      <c r="F24" s="10" t="inlineStr"/>
      <c r="G24" s="10" t="inlineStr"/>
      <c r="H24" s="10" t="inlineStr"/>
      <c r="I24" s="10" t="inlineStr"/>
      <c r="J24" s="12">
        <f>IF(COUNTA(F24:I24)&lt;4,"",E24*MAX(0,AVERAGE(F24:H24)-0.5*I24))</f>
        <v/>
      </c>
      <c r="K24" s="3">
        <f>IF(COUNTA(F24:H24)&lt;3,"",IF(AND(D24="Y",OR(F24&lt;3,G24&lt;3,H24&lt;3)),"FAIL",""))</f>
        <v/>
      </c>
      <c r="L24" s="10" t="inlineStr"/>
      <c r="M24" s="11" t="inlineStr"/>
    </row>
    <row r="25">
      <c r="A25" s="3">
        <f>Questionnaire!A25</f>
        <v/>
      </c>
      <c r="B25" s="3">
        <f>Questionnaire!B25</f>
        <v/>
      </c>
      <c r="C25" s="3">
        <f>Questionnaire!C25</f>
        <v/>
      </c>
      <c r="D25" s="3">
        <f>Questionnaire!D25</f>
        <v/>
      </c>
      <c r="E25" s="3">
        <f>IF(C25="A",5,3)</f>
        <v/>
      </c>
      <c r="F25" s="10" t="inlineStr"/>
      <c r="G25" s="10" t="inlineStr"/>
      <c r="H25" s="10" t="inlineStr"/>
      <c r="I25" s="10" t="inlineStr"/>
      <c r="J25" s="12">
        <f>IF(COUNTA(F25:I25)&lt;4,"",E25*MAX(0,AVERAGE(F25:H25)-0.5*I25))</f>
        <v/>
      </c>
      <c r="K25" s="3">
        <f>IF(COUNTA(F25:H25)&lt;3,"",IF(AND(D25="Y",OR(F25&lt;3,G25&lt;3,H25&lt;3)),"FAIL",""))</f>
        <v/>
      </c>
      <c r="L25" s="10" t="inlineStr"/>
      <c r="M25" s="11" t="inlineStr"/>
    </row>
    <row r="26">
      <c r="A26" s="3">
        <f>Questionnaire!A26</f>
        <v/>
      </c>
      <c r="B26" s="3">
        <f>Questionnaire!B26</f>
        <v/>
      </c>
      <c r="C26" s="3">
        <f>Questionnaire!C26</f>
        <v/>
      </c>
      <c r="D26" s="3">
        <f>Questionnaire!D26</f>
        <v/>
      </c>
      <c r="E26" s="3">
        <f>IF(C26="A",5,3)</f>
        <v/>
      </c>
      <c r="F26" s="10" t="inlineStr"/>
      <c r="G26" s="10" t="inlineStr"/>
      <c r="H26" s="10" t="inlineStr"/>
      <c r="I26" s="10" t="inlineStr"/>
      <c r="J26" s="12">
        <f>IF(COUNTA(F26:I26)&lt;4,"",E26*MAX(0,AVERAGE(F26:H26)-0.5*I26))</f>
        <v/>
      </c>
      <c r="K26" s="3">
        <f>IF(COUNTA(F26:H26)&lt;3,"",IF(AND(D26="Y",OR(F26&lt;3,G26&lt;3,H26&lt;3)),"FAIL",""))</f>
        <v/>
      </c>
      <c r="L26" s="10" t="inlineStr"/>
      <c r="M26" s="11" t="inlineStr"/>
    </row>
    <row r="27">
      <c r="A27" s="3">
        <f>Questionnaire!A27</f>
        <v/>
      </c>
      <c r="B27" s="3">
        <f>Questionnaire!B27</f>
        <v/>
      </c>
      <c r="C27" s="3">
        <f>Questionnaire!C27</f>
        <v/>
      </c>
      <c r="D27" s="3">
        <f>Questionnaire!D27</f>
        <v/>
      </c>
      <c r="E27" s="3">
        <f>IF(C27="A",5,3)</f>
        <v/>
      </c>
      <c r="F27" s="10" t="inlineStr"/>
      <c r="G27" s="10" t="inlineStr"/>
      <c r="H27" s="10" t="inlineStr"/>
      <c r="I27" s="10" t="inlineStr"/>
      <c r="J27" s="12">
        <f>IF(COUNTA(F27:I27)&lt;4,"",E27*MAX(0,AVERAGE(F27:H27)-0.5*I27))</f>
        <v/>
      </c>
      <c r="K27" s="3">
        <f>IF(COUNTA(F27:H27)&lt;3,"",IF(AND(D27="Y",OR(F27&lt;3,G27&lt;3,H27&lt;3)),"FAIL",""))</f>
        <v/>
      </c>
      <c r="L27" s="10" t="inlineStr"/>
      <c r="M27" s="11" t="inlineStr"/>
    </row>
    <row r="28">
      <c r="A28" s="3">
        <f>Questionnaire!A28</f>
        <v/>
      </c>
      <c r="B28" s="3">
        <f>Questionnaire!B28</f>
        <v/>
      </c>
      <c r="C28" s="3">
        <f>Questionnaire!C28</f>
        <v/>
      </c>
      <c r="D28" s="3">
        <f>Questionnaire!D28</f>
        <v/>
      </c>
      <c r="E28" s="3">
        <f>IF(C28="A",5,3)</f>
        <v/>
      </c>
      <c r="F28" s="10" t="inlineStr"/>
      <c r="G28" s="10" t="inlineStr"/>
      <c r="H28" s="10" t="inlineStr"/>
      <c r="I28" s="10" t="inlineStr"/>
      <c r="J28" s="12">
        <f>IF(COUNTA(F28:I28)&lt;4,"",E28*MAX(0,AVERAGE(F28:H28)-0.5*I28))</f>
        <v/>
      </c>
      <c r="K28" s="3">
        <f>IF(COUNTA(F28:H28)&lt;3,"",IF(AND(D28="Y",OR(F28&lt;3,G28&lt;3,H28&lt;3)),"FAIL",""))</f>
        <v/>
      </c>
      <c r="L28" s="10" t="inlineStr"/>
      <c r="M28" s="11" t="inlineStr"/>
    </row>
    <row r="29">
      <c r="A29" s="3">
        <f>Questionnaire!A29</f>
        <v/>
      </c>
      <c r="B29" s="3">
        <f>Questionnaire!B29</f>
        <v/>
      </c>
      <c r="C29" s="3">
        <f>Questionnaire!C29</f>
        <v/>
      </c>
      <c r="D29" s="3">
        <f>Questionnaire!D29</f>
        <v/>
      </c>
      <c r="E29" s="3">
        <f>IF(C29="A",5,3)</f>
        <v/>
      </c>
      <c r="F29" s="10" t="inlineStr"/>
      <c r="G29" s="10" t="inlineStr"/>
      <c r="H29" s="10" t="inlineStr"/>
      <c r="I29" s="10" t="inlineStr"/>
      <c r="J29" s="12">
        <f>IF(COUNTA(F29:I29)&lt;4,"",E29*MAX(0,AVERAGE(F29:H29)-0.5*I29))</f>
        <v/>
      </c>
      <c r="K29" s="3">
        <f>IF(COUNTA(F29:H29)&lt;3,"",IF(AND(D29="Y",OR(F29&lt;3,G29&lt;3,H29&lt;3)),"FAIL",""))</f>
        <v/>
      </c>
      <c r="L29" s="10" t="inlineStr"/>
      <c r="M29" s="11" t="inlineStr"/>
    </row>
    <row r="30">
      <c r="A30" s="3">
        <f>Questionnaire!A30</f>
        <v/>
      </c>
      <c r="B30" s="3">
        <f>Questionnaire!B30</f>
        <v/>
      </c>
      <c r="C30" s="3">
        <f>Questionnaire!C30</f>
        <v/>
      </c>
      <c r="D30" s="3">
        <f>Questionnaire!D30</f>
        <v/>
      </c>
      <c r="E30" s="3">
        <f>IF(C30="A",5,3)</f>
        <v/>
      </c>
      <c r="F30" s="10" t="inlineStr"/>
      <c r="G30" s="10" t="inlineStr"/>
      <c r="H30" s="10" t="inlineStr"/>
      <c r="I30" s="10" t="inlineStr"/>
      <c r="J30" s="12">
        <f>IF(COUNTA(F30:I30)&lt;4,"",E30*MAX(0,AVERAGE(F30:H30)-0.5*I30))</f>
        <v/>
      </c>
      <c r="K30" s="3">
        <f>IF(COUNTA(F30:H30)&lt;3,"",IF(AND(D30="Y",OR(F30&lt;3,G30&lt;3,H30&lt;3)),"FAIL",""))</f>
        <v/>
      </c>
      <c r="L30" s="10" t="inlineStr"/>
      <c r="M30" s="11" t="inlineStr"/>
    </row>
    <row r="31">
      <c r="A31" s="3">
        <f>Questionnaire!A31</f>
        <v/>
      </c>
      <c r="B31" s="3">
        <f>Questionnaire!B31</f>
        <v/>
      </c>
      <c r="C31" s="3">
        <f>Questionnaire!C31</f>
        <v/>
      </c>
      <c r="D31" s="3">
        <f>Questionnaire!D31</f>
        <v/>
      </c>
      <c r="E31" s="3">
        <f>IF(C31="A",5,3)</f>
        <v/>
      </c>
      <c r="F31" s="10" t="inlineStr"/>
      <c r="G31" s="10" t="inlineStr"/>
      <c r="H31" s="10" t="inlineStr"/>
      <c r="I31" s="10" t="inlineStr"/>
      <c r="J31" s="12">
        <f>IF(COUNTA(F31:I31)&lt;4,"",E31*MAX(0,AVERAGE(F31:H31)-0.5*I31))</f>
        <v/>
      </c>
      <c r="K31" s="3">
        <f>IF(COUNTA(F31:H31)&lt;3,"",IF(AND(D31="Y",OR(F31&lt;3,G31&lt;3,H31&lt;3)),"FAIL",""))</f>
        <v/>
      </c>
      <c r="L31" s="10" t="inlineStr"/>
      <c r="M31" s="11" t="inlineStr"/>
    </row>
    <row r="32">
      <c r="A32" s="3">
        <f>Questionnaire!A32</f>
        <v/>
      </c>
      <c r="B32" s="3">
        <f>Questionnaire!B32</f>
        <v/>
      </c>
      <c r="C32" s="3">
        <f>Questionnaire!C32</f>
        <v/>
      </c>
      <c r="D32" s="3">
        <f>Questionnaire!D32</f>
        <v/>
      </c>
      <c r="E32" s="3">
        <f>IF(C32="A",5,3)</f>
        <v/>
      </c>
      <c r="F32" s="10" t="inlineStr"/>
      <c r="G32" s="10" t="inlineStr"/>
      <c r="H32" s="10" t="inlineStr"/>
      <c r="I32" s="10" t="inlineStr"/>
      <c r="J32" s="12">
        <f>IF(COUNTA(F32:I32)&lt;4,"",E32*MAX(0,AVERAGE(F32:H32)-0.5*I32))</f>
        <v/>
      </c>
      <c r="K32" s="3">
        <f>IF(COUNTA(F32:H32)&lt;3,"",IF(AND(D32="Y",OR(F32&lt;3,G32&lt;3,H32&lt;3)),"FAIL",""))</f>
        <v/>
      </c>
      <c r="L32" s="10" t="inlineStr"/>
      <c r="M32" s="11" t="inlineStr"/>
    </row>
    <row r="33">
      <c r="A33" s="3">
        <f>Questionnaire!A33</f>
        <v/>
      </c>
      <c r="B33" s="3">
        <f>Questionnaire!B33</f>
        <v/>
      </c>
      <c r="C33" s="3">
        <f>Questionnaire!C33</f>
        <v/>
      </c>
      <c r="D33" s="3">
        <f>Questionnaire!D33</f>
        <v/>
      </c>
      <c r="E33" s="3">
        <f>IF(C33="A",5,3)</f>
        <v/>
      </c>
      <c r="F33" s="10" t="inlineStr"/>
      <c r="G33" s="10" t="inlineStr"/>
      <c r="H33" s="10" t="inlineStr"/>
      <c r="I33" s="10" t="inlineStr"/>
      <c r="J33" s="12">
        <f>IF(COUNTA(F33:I33)&lt;4,"",E33*MAX(0,AVERAGE(F33:H33)-0.5*I33))</f>
        <v/>
      </c>
      <c r="K33" s="3">
        <f>IF(COUNTA(F33:H33)&lt;3,"",IF(AND(D33="Y",OR(F33&lt;3,G33&lt;3,H33&lt;3)),"FAIL",""))</f>
        <v/>
      </c>
      <c r="L33" s="10" t="inlineStr"/>
      <c r="M33" s="11" t="inlineStr"/>
    </row>
    <row r="34">
      <c r="A34" s="3">
        <f>Questionnaire!A34</f>
        <v/>
      </c>
      <c r="B34" s="3">
        <f>Questionnaire!B34</f>
        <v/>
      </c>
      <c r="C34" s="3">
        <f>Questionnaire!C34</f>
        <v/>
      </c>
      <c r="D34" s="3">
        <f>Questionnaire!D34</f>
        <v/>
      </c>
      <c r="E34" s="3">
        <f>IF(C34="A",5,3)</f>
        <v/>
      </c>
      <c r="F34" s="10" t="inlineStr"/>
      <c r="G34" s="10" t="inlineStr"/>
      <c r="H34" s="10" t="inlineStr"/>
      <c r="I34" s="10" t="inlineStr"/>
      <c r="J34" s="12">
        <f>IF(COUNTA(F34:I34)&lt;4,"",E34*MAX(0,AVERAGE(F34:H34)-0.5*I34))</f>
        <v/>
      </c>
      <c r="K34" s="3">
        <f>IF(COUNTA(F34:H34)&lt;3,"",IF(AND(D34="Y",OR(F34&lt;3,G34&lt;3,H34&lt;3)),"FAIL",""))</f>
        <v/>
      </c>
      <c r="L34" s="10" t="inlineStr"/>
      <c r="M34" s="11" t="inlineStr"/>
    </row>
    <row r="35">
      <c r="A35" s="3">
        <f>Questionnaire!A35</f>
        <v/>
      </c>
      <c r="B35" s="3">
        <f>Questionnaire!B35</f>
        <v/>
      </c>
      <c r="C35" s="3">
        <f>Questionnaire!C35</f>
        <v/>
      </c>
      <c r="D35" s="3">
        <f>Questionnaire!D35</f>
        <v/>
      </c>
      <c r="E35" s="3">
        <f>IF(C35="A",5,3)</f>
        <v/>
      </c>
      <c r="F35" s="10" t="inlineStr"/>
      <c r="G35" s="10" t="inlineStr"/>
      <c r="H35" s="10" t="inlineStr"/>
      <c r="I35" s="10" t="inlineStr"/>
      <c r="J35" s="12">
        <f>IF(COUNTA(F35:I35)&lt;4,"",E35*MAX(0,AVERAGE(F35:H35)-0.5*I35))</f>
        <v/>
      </c>
      <c r="K35" s="3">
        <f>IF(COUNTA(F35:H35)&lt;3,"",IF(AND(D35="Y",OR(F35&lt;3,G35&lt;3,H35&lt;3)),"FAIL",""))</f>
        <v/>
      </c>
      <c r="L35" s="10" t="inlineStr"/>
      <c r="M35" s="11" t="inlineStr"/>
    </row>
    <row r="36">
      <c r="A36" s="3">
        <f>Questionnaire!A36</f>
        <v/>
      </c>
      <c r="B36" s="3">
        <f>Questionnaire!B36</f>
        <v/>
      </c>
      <c r="C36" s="3">
        <f>Questionnaire!C36</f>
        <v/>
      </c>
      <c r="D36" s="3">
        <f>Questionnaire!D36</f>
        <v/>
      </c>
      <c r="E36" s="3">
        <f>IF(C36="A",5,3)</f>
        <v/>
      </c>
      <c r="F36" s="10" t="inlineStr"/>
      <c r="G36" s="10" t="inlineStr"/>
      <c r="H36" s="10" t="inlineStr"/>
      <c r="I36" s="10" t="inlineStr"/>
      <c r="J36" s="12">
        <f>IF(COUNTA(F36:I36)&lt;4,"",E36*MAX(0,AVERAGE(F36:H36)-0.5*I36))</f>
        <v/>
      </c>
      <c r="K36" s="3">
        <f>IF(COUNTA(F36:H36)&lt;3,"",IF(AND(D36="Y",OR(F36&lt;3,G36&lt;3,H36&lt;3)),"FAIL",""))</f>
        <v/>
      </c>
      <c r="L36" s="10" t="inlineStr"/>
      <c r="M36" s="11" t="inlineStr"/>
    </row>
    <row r="37">
      <c r="A37" s="3">
        <f>Questionnaire!A37</f>
        <v/>
      </c>
      <c r="B37" s="3">
        <f>Questionnaire!B37</f>
        <v/>
      </c>
      <c r="C37" s="3">
        <f>Questionnaire!C37</f>
        <v/>
      </c>
      <c r="D37" s="3">
        <f>Questionnaire!D37</f>
        <v/>
      </c>
      <c r="E37" s="3">
        <f>IF(C37="A",5,3)</f>
        <v/>
      </c>
      <c r="F37" s="10" t="inlineStr"/>
      <c r="G37" s="10" t="inlineStr"/>
      <c r="H37" s="10" t="inlineStr"/>
      <c r="I37" s="10" t="inlineStr"/>
      <c r="J37" s="12">
        <f>IF(COUNTA(F37:I37)&lt;4,"",E37*MAX(0,AVERAGE(F37:H37)-0.5*I37))</f>
        <v/>
      </c>
      <c r="K37" s="3">
        <f>IF(COUNTA(F37:H37)&lt;3,"",IF(AND(D37="Y",OR(F37&lt;3,G37&lt;3,H37&lt;3)),"FAIL",""))</f>
        <v/>
      </c>
      <c r="L37" s="10" t="inlineStr"/>
      <c r="M37" s="11" t="inlineStr"/>
    </row>
    <row r="38">
      <c r="A38" s="3">
        <f>Questionnaire!A38</f>
        <v/>
      </c>
      <c r="B38" s="3">
        <f>Questionnaire!B38</f>
        <v/>
      </c>
      <c r="C38" s="3">
        <f>Questionnaire!C38</f>
        <v/>
      </c>
      <c r="D38" s="3">
        <f>Questionnaire!D38</f>
        <v/>
      </c>
      <c r="E38" s="3">
        <f>IF(C38="A",5,3)</f>
        <v/>
      </c>
      <c r="F38" s="10" t="inlineStr"/>
      <c r="G38" s="10" t="inlineStr"/>
      <c r="H38" s="10" t="inlineStr"/>
      <c r="I38" s="10" t="inlineStr"/>
      <c r="J38" s="12">
        <f>IF(COUNTA(F38:I38)&lt;4,"",E38*MAX(0,AVERAGE(F38:H38)-0.5*I38))</f>
        <v/>
      </c>
      <c r="K38" s="3">
        <f>IF(COUNTA(F38:H38)&lt;3,"",IF(AND(D38="Y",OR(F38&lt;3,G38&lt;3,H38&lt;3)),"FAIL",""))</f>
        <v/>
      </c>
      <c r="L38" s="10" t="inlineStr"/>
      <c r="M38" s="11" t="inlineStr"/>
    </row>
    <row r="39">
      <c r="A39" s="3">
        <f>Questionnaire!A39</f>
        <v/>
      </c>
      <c r="B39" s="3">
        <f>Questionnaire!B39</f>
        <v/>
      </c>
      <c r="C39" s="3">
        <f>Questionnaire!C39</f>
        <v/>
      </c>
      <c r="D39" s="3">
        <f>Questionnaire!D39</f>
        <v/>
      </c>
      <c r="E39" s="3">
        <f>IF(C39="A",5,3)</f>
        <v/>
      </c>
      <c r="F39" s="10" t="inlineStr"/>
      <c r="G39" s="10" t="inlineStr"/>
      <c r="H39" s="10" t="inlineStr"/>
      <c r="I39" s="10" t="inlineStr"/>
      <c r="J39" s="12">
        <f>IF(COUNTA(F39:I39)&lt;4,"",E39*MAX(0,AVERAGE(F39:H39)-0.5*I39))</f>
        <v/>
      </c>
      <c r="K39" s="3">
        <f>IF(COUNTA(F39:H39)&lt;3,"",IF(AND(D39="Y",OR(F39&lt;3,G39&lt;3,H39&lt;3)),"FAIL",""))</f>
        <v/>
      </c>
      <c r="L39" s="10" t="inlineStr"/>
      <c r="M39" s="11" t="inlineStr"/>
    </row>
    <row r="40">
      <c r="A40" s="3">
        <f>Questionnaire!A40</f>
        <v/>
      </c>
      <c r="B40" s="3">
        <f>Questionnaire!B40</f>
        <v/>
      </c>
      <c r="C40" s="3">
        <f>Questionnaire!C40</f>
        <v/>
      </c>
      <c r="D40" s="3">
        <f>Questionnaire!D40</f>
        <v/>
      </c>
      <c r="E40" s="3">
        <f>IF(C40="A",5,3)</f>
        <v/>
      </c>
      <c r="F40" s="10" t="inlineStr"/>
      <c r="G40" s="10" t="inlineStr"/>
      <c r="H40" s="10" t="inlineStr"/>
      <c r="I40" s="10" t="inlineStr"/>
      <c r="J40" s="12">
        <f>IF(COUNTA(F40:I40)&lt;4,"",E40*MAX(0,AVERAGE(F40:H40)-0.5*I40))</f>
        <v/>
      </c>
      <c r="K40" s="3">
        <f>IF(COUNTA(F40:H40)&lt;3,"",IF(AND(D40="Y",OR(F40&lt;3,G40&lt;3,H40&lt;3)),"FAIL",""))</f>
        <v/>
      </c>
      <c r="L40" s="10" t="inlineStr"/>
      <c r="M40" s="11" t="inlineStr"/>
    </row>
    <row r="41">
      <c r="A41" s="3">
        <f>Questionnaire!A41</f>
        <v/>
      </c>
      <c r="B41" s="3">
        <f>Questionnaire!B41</f>
        <v/>
      </c>
      <c r="C41" s="3">
        <f>Questionnaire!C41</f>
        <v/>
      </c>
      <c r="D41" s="3">
        <f>Questionnaire!D41</f>
        <v/>
      </c>
      <c r="E41" s="3">
        <f>IF(C41="A",5,3)</f>
        <v/>
      </c>
      <c r="F41" s="10" t="inlineStr"/>
      <c r="G41" s="10" t="inlineStr"/>
      <c r="H41" s="10" t="inlineStr"/>
      <c r="I41" s="10" t="inlineStr"/>
      <c r="J41" s="12">
        <f>IF(COUNTA(F41:I41)&lt;4,"",E41*MAX(0,AVERAGE(F41:H41)-0.5*I41))</f>
        <v/>
      </c>
      <c r="K41" s="3">
        <f>IF(COUNTA(F41:H41)&lt;3,"",IF(AND(D41="Y",OR(F41&lt;3,G41&lt;3,H41&lt;3)),"FAIL",""))</f>
        <v/>
      </c>
      <c r="L41" s="10" t="inlineStr"/>
      <c r="M41" s="11" t="inlineStr"/>
    </row>
    <row r="42">
      <c r="A42" s="3">
        <f>Questionnaire!A42</f>
        <v/>
      </c>
      <c r="B42" s="3">
        <f>Questionnaire!B42</f>
        <v/>
      </c>
      <c r="C42" s="3">
        <f>Questionnaire!C42</f>
        <v/>
      </c>
      <c r="D42" s="3">
        <f>Questionnaire!D42</f>
        <v/>
      </c>
      <c r="E42" s="3">
        <f>IF(C42="A",5,3)</f>
        <v/>
      </c>
      <c r="F42" s="10" t="inlineStr"/>
      <c r="G42" s="10" t="inlineStr"/>
      <c r="H42" s="10" t="inlineStr"/>
      <c r="I42" s="10" t="inlineStr"/>
      <c r="J42" s="12">
        <f>IF(COUNTA(F42:I42)&lt;4,"",E42*MAX(0,AVERAGE(F42:H42)-0.5*I42))</f>
        <v/>
      </c>
      <c r="K42" s="3">
        <f>IF(COUNTA(F42:H42)&lt;3,"",IF(AND(D42="Y",OR(F42&lt;3,G42&lt;3,H42&lt;3)),"FAIL",""))</f>
        <v/>
      </c>
      <c r="L42" s="10" t="inlineStr"/>
      <c r="M42" s="11" t="inlineStr"/>
    </row>
    <row r="43">
      <c r="A43" s="3">
        <f>Questionnaire!A43</f>
        <v/>
      </c>
      <c r="B43" s="3">
        <f>Questionnaire!B43</f>
        <v/>
      </c>
      <c r="C43" s="3">
        <f>Questionnaire!C43</f>
        <v/>
      </c>
      <c r="D43" s="3">
        <f>Questionnaire!D43</f>
        <v/>
      </c>
      <c r="E43" s="3">
        <f>IF(C43="A",5,3)</f>
        <v/>
      </c>
      <c r="F43" s="10" t="inlineStr"/>
      <c r="G43" s="10" t="inlineStr"/>
      <c r="H43" s="10" t="inlineStr"/>
      <c r="I43" s="10" t="inlineStr"/>
      <c r="J43" s="12">
        <f>IF(COUNTA(F43:I43)&lt;4,"",E43*MAX(0,AVERAGE(F43:H43)-0.5*I43))</f>
        <v/>
      </c>
      <c r="K43" s="3">
        <f>IF(COUNTA(F43:H43)&lt;3,"",IF(AND(D43="Y",OR(F43&lt;3,G43&lt;3,H43&lt;3)),"FAIL",""))</f>
        <v/>
      </c>
      <c r="L43" s="10" t="inlineStr"/>
      <c r="M43" s="11" t="inlineStr"/>
    </row>
    <row r="44">
      <c r="A44" s="3">
        <f>Questionnaire!A44</f>
        <v/>
      </c>
      <c r="B44" s="3">
        <f>Questionnaire!B44</f>
        <v/>
      </c>
      <c r="C44" s="3">
        <f>Questionnaire!C44</f>
        <v/>
      </c>
      <c r="D44" s="3">
        <f>Questionnaire!D44</f>
        <v/>
      </c>
      <c r="E44" s="3">
        <f>IF(C44="A",5,3)</f>
        <v/>
      </c>
      <c r="F44" s="10" t="inlineStr"/>
      <c r="G44" s="10" t="inlineStr"/>
      <c r="H44" s="10" t="inlineStr"/>
      <c r="I44" s="10" t="inlineStr"/>
      <c r="J44" s="12">
        <f>IF(COUNTA(F44:I44)&lt;4,"",E44*MAX(0,AVERAGE(F44:H44)-0.5*I44))</f>
        <v/>
      </c>
      <c r="K44" s="3">
        <f>IF(COUNTA(F44:H44)&lt;3,"",IF(AND(D44="Y",OR(F44&lt;3,G44&lt;3,H44&lt;3)),"FAIL",""))</f>
        <v/>
      </c>
      <c r="L44" s="10" t="inlineStr"/>
      <c r="M44" s="11" t="inlineStr"/>
    </row>
    <row r="45">
      <c r="A45" s="3">
        <f>Questionnaire!A45</f>
        <v/>
      </c>
      <c r="B45" s="3">
        <f>Questionnaire!B45</f>
        <v/>
      </c>
      <c r="C45" s="3">
        <f>Questionnaire!C45</f>
        <v/>
      </c>
      <c r="D45" s="3">
        <f>Questionnaire!D45</f>
        <v/>
      </c>
      <c r="E45" s="3">
        <f>IF(C45="A",5,3)</f>
        <v/>
      </c>
      <c r="F45" s="10" t="inlineStr"/>
      <c r="G45" s="10" t="inlineStr"/>
      <c r="H45" s="10" t="inlineStr"/>
      <c r="I45" s="10" t="inlineStr"/>
      <c r="J45" s="12">
        <f>IF(COUNTA(F45:I45)&lt;4,"",E45*MAX(0,AVERAGE(F45:H45)-0.5*I45))</f>
        <v/>
      </c>
      <c r="K45" s="3">
        <f>IF(COUNTA(F45:H45)&lt;3,"",IF(AND(D45="Y",OR(F45&lt;3,G45&lt;3,H45&lt;3)),"FAIL",""))</f>
        <v/>
      </c>
      <c r="L45" s="10" t="inlineStr"/>
      <c r="M45" s="11" t="inlineStr"/>
    </row>
    <row r="46">
      <c r="A46" s="3">
        <f>Questionnaire!A46</f>
        <v/>
      </c>
      <c r="B46" s="3">
        <f>Questionnaire!B46</f>
        <v/>
      </c>
      <c r="C46" s="3">
        <f>Questionnaire!C46</f>
        <v/>
      </c>
      <c r="D46" s="3">
        <f>Questionnaire!D46</f>
        <v/>
      </c>
      <c r="E46" s="3">
        <f>IF(C46="A",5,3)</f>
        <v/>
      </c>
      <c r="F46" s="10" t="inlineStr"/>
      <c r="G46" s="10" t="inlineStr"/>
      <c r="H46" s="10" t="inlineStr"/>
      <c r="I46" s="10" t="inlineStr"/>
      <c r="J46" s="12">
        <f>IF(COUNTA(F46:I46)&lt;4,"",E46*MAX(0,AVERAGE(F46:H46)-0.5*I46))</f>
        <v/>
      </c>
      <c r="K46" s="3">
        <f>IF(COUNTA(F46:H46)&lt;3,"",IF(AND(D46="Y",OR(F46&lt;3,G46&lt;3,H46&lt;3)),"FAIL",""))</f>
        <v/>
      </c>
      <c r="L46" s="10" t="inlineStr"/>
      <c r="M46" s="11" t="inlineStr"/>
    </row>
    <row r="47">
      <c r="A47" s="3">
        <f>Questionnaire!A47</f>
        <v/>
      </c>
      <c r="B47" s="3">
        <f>Questionnaire!B47</f>
        <v/>
      </c>
      <c r="C47" s="3">
        <f>Questionnaire!C47</f>
        <v/>
      </c>
      <c r="D47" s="3">
        <f>Questionnaire!D47</f>
        <v/>
      </c>
      <c r="E47" s="3">
        <f>IF(C47="A",5,3)</f>
        <v/>
      </c>
      <c r="F47" s="10" t="inlineStr"/>
      <c r="G47" s="10" t="inlineStr"/>
      <c r="H47" s="10" t="inlineStr"/>
      <c r="I47" s="10" t="inlineStr"/>
      <c r="J47" s="12">
        <f>IF(COUNTA(F47:I47)&lt;4,"",E47*MAX(0,AVERAGE(F47:H47)-0.5*I47))</f>
        <v/>
      </c>
      <c r="K47" s="3">
        <f>IF(COUNTA(F47:H47)&lt;3,"",IF(AND(D47="Y",OR(F47&lt;3,G47&lt;3,H47&lt;3)),"FAIL",""))</f>
        <v/>
      </c>
      <c r="L47" s="10" t="inlineStr"/>
      <c r="M47" s="11" t="inlineStr"/>
    </row>
    <row r="48">
      <c r="A48" s="3">
        <f>Questionnaire!A48</f>
        <v/>
      </c>
      <c r="B48" s="3">
        <f>Questionnaire!B48</f>
        <v/>
      </c>
      <c r="C48" s="3">
        <f>Questionnaire!C48</f>
        <v/>
      </c>
      <c r="D48" s="3">
        <f>Questionnaire!D48</f>
        <v/>
      </c>
      <c r="E48" s="3">
        <f>IF(C48="A",5,3)</f>
        <v/>
      </c>
      <c r="F48" s="10" t="inlineStr"/>
      <c r="G48" s="10" t="inlineStr"/>
      <c r="H48" s="10" t="inlineStr"/>
      <c r="I48" s="10" t="inlineStr"/>
      <c r="J48" s="12">
        <f>IF(COUNTA(F48:I48)&lt;4,"",E48*MAX(0,AVERAGE(F48:H48)-0.5*I48))</f>
        <v/>
      </c>
      <c r="K48" s="3">
        <f>IF(COUNTA(F48:H48)&lt;3,"",IF(AND(D48="Y",OR(F48&lt;3,G48&lt;3,H48&lt;3)),"FAIL",""))</f>
        <v/>
      </c>
      <c r="L48" s="10" t="inlineStr"/>
      <c r="M48" s="11" t="inlineStr"/>
    </row>
    <row r="49">
      <c r="A49" s="3">
        <f>Questionnaire!A49</f>
        <v/>
      </c>
      <c r="B49" s="3">
        <f>Questionnaire!B49</f>
        <v/>
      </c>
      <c r="C49" s="3">
        <f>Questionnaire!C49</f>
        <v/>
      </c>
      <c r="D49" s="3">
        <f>Questionnaire!D49</f>
        <v/>
      </c>
      <c r="E49" s="3">
        <f>IF(C49="A",5,3)</f>
        <v/>
      </c>
      <c r="F49" s="10" t="inlineStr"/>
      <c r="G49" s="10" t="inlineStr"/>
      <c r="H49" s="10" t="inlineStr"/>
      <c r="I49" s="10" t="inlineStr"/>
      <c r="J49" s="12">
        <f>IF(COUNTA(F49:I49)&lt;4,"",E49*MAX(0,AVERAGE(F49:H49)-0.5*I49))</f>
        <v/>
      </c>
      <c r="K49" s="3">
        <f>IF(COUNTA(F49:H49)&lt;3,"",IF(AND(D49="Y",OR(F49&lt;3,G49&lt;3,H49&lt;3)),"FAIL",""))</f>
        <v/>
      </c>
      <c r="L49" s="10" t="inlineStr"/>
      <c r="M49" s="11" t="inlineStr"/>
    </row>
    <row r="50">
      <c r="A50" s="3">
        <f>Questionnaire!A50</f>
        <v/>
      </c>
      <c r="B50" s="3">
        <f>Questionnaire!B50</f>
        <v/>
      </c>
      <c r="C50" s="3">
        <f>Questionnaire!C50</f>
        <v/>
      </c>
      <c r="D50" s="3">
        <f>Questionnaire!D50</f>
        <v/>
      </c>
      <c r="E50" s="3">
        <f>IF(C50="A",5,3)</f>
        <v/>
      </c>
      <c r="F50" s="10" t="inlineStr"/>
      <c r="G50" s="10" t="inlineStr"/>
      <c r="H50" s="10" t="inlineStr"/>
      <c r="I50" s="10" t="inlineStr"/>
      <c r="J50" s="12">
        <f>IF(COUNTA(F50:I50)&lt;4,"",E50*MAX(0,AVERAGE(F50:H50)-0.5*I50))</f>
        <v/>
      </c>
      <c r="K50" s="3">
        <f>IF(COUNTA(F50:H50)&lt;3,"",IF(AND(D50="Y",OR(F50&lt;3,G50&lt;3,H50&lt;3)),"FAIL",""))</f>
        <v/>
      </c>
      <c r="L50" s="10" t="inlineStr"/>
      <c r="M50" s="11" t="inlineStr"/>
    </row>
    <row r="51">
      <c r="A51" s="3">
        <f>Questionnaire!A51</f>
        <v/>
      </c>
      <c r="B51" s="3">
        <f>Questionnaire!B51</f>
        <v/>
      </c>
      <c r="C51" s="3">
        <f>Questionnaire!C51</f>
        <v/>
      </c>
      <c r="D51" s="3">
        <f>Questionnaire!D51</f>
        <v/>
      </c>
      <c r="E51" s="3">
        <f>IF(C51="A",5,3)</f>
        <v/>
      </c>
      <c r="F51" s="10" t="inlineStr"/>
      <c r="G51" s="10" t="inlineStr"/>
      <c r="H51" s="10" t="inlineStr"/>
      <c r="I51" s="10" t="inlineStr"/>
      <c r="J51" s="12">
        <f>IF(COUNTA(F51:I51)&lt;4,"",E51*MAX(0,AVERAGE(F51:H51)-0.5*I51))</f>
        <v/>
      </c>
      <c r="K51" s="3">
        <f>IF(COUNTA(F51:H51)&lt;3,"",IF(AND(D51="Y",OR(F51&lt;3,G51&lt;3,H51&lt;3)),"FAIL",""))</f>
        <v/>
      </c>
      <c r="L51" s="10" t="inlineStr"/>
      <c r="M51" s="11" t="inlineStr"/>
    </row>
    <row r="52">
      <c r="A52" s="3">
        <f>Questionnaire!A52</f>
        <v/>
      </c>
      <c r="B52" s="3">
        <f>Questionnaire!B52</f>
        <v/>
      </c>
      <c r="C52" s="3">
        <f>Questionnaire!C52</f>
        <v/>
      </c>
      <c r="D52" s="3">
        <f>Questionnaire!D52</f>
        <v/>
      </c>
      <c r="E52" s="3">
        <f>IF(C52="A",5,3)</f>
        <v/>
      </c>
      <c r="F52" s="10" t="inlineStr"/>
      <c r="G52" s="10" t="inlineStr"/>
      <c r="H52" s="10" t="inlineStr"/>
      <c r="I52" s="10" t="inlineStr"/>
      <c r="J52" s="12">
        <f>IF(COUNTA(F52:I52)&lt;4,"",E52*MAX(0,AVERAGE(F52:H52)-0.5*I52))</f>
        <v/>
      </c>
      <c r="K52" s="3">
        <f>IF(COUNTA(F52:H52)&lt;3,"",IF(AND(D52="Y",OR(F52&lt;3,G52&lt;3,H52&lt;3)),"FAIL",""))</f>
        <v/>
      </c>
      <c r="L52" s="10" t="inlineStr"/>
      <c r="M52" s="11" t="inlineStr"/>
    </row>
    <row r="53">
      <c r="A53" s="3">
        <f>Questionnaire!A53</f>
        <v/>
      </c>
      <c r="B53" s="3">
        <f>Questionnaire!B53</f>
        <v/>
      </c>
      <c r="C53" s="3">
        <f>Questionnaire!C53</f>
        <v/>
      </c>
      <c r="D53" s="3">
        <f>Questionnaire!D53</f>
        <v/>
      </c>
      <c r="E53" s="3">
        <f>IF(C53="A",5,3)</f>
        <v/>
      </c>
      <c r="F53" s="10" t="inlineStr"/>
      <c r="G53" s="10" t="inlineStr"/>
      <c r="H53" s="10" t="inlineStr"/>
      <c r="I53" s="10" t="inlineStr"/>
      <c r="J53" s="12">
        <f>IF(COUNTA(F53:I53)&lt;4,"",E53*MAX(0,AVERAGE(F53:H53)-0.5*I53))</f>
        <v/>
      </c>
      <c r="K53" s="3">
        <f>IF(COUNTA(F53:H53)&lt;3,"",IF(AND(D53="Y",OR(F53&lt;3,G53&lt;3,H53&lt;3)),"FAIL",""))</f>
        <v/>
      </c>
      <c r="L53" s="10" t="inlineStr"/>
      <c r="M53" s="11" t="inlineStr"/>
    </row>
    <row r="54">
      <c r="A54" s="3">
        <f>Questionnaire!A54</f>
        <v/>
      </c>
      <c r="B54" s="3">
        <f>Questionnaire!B54</f>
        <v/>
      </c>
      <c r="C54" s="3">
        <f>Questionnaire!C54</f>
        <v/>
      </c>
      <c r="D54" s="3">
        <f>Questionnaire!D54</f>
        <v/>
      </c>
      <c r="E54" s="3">
        <f>IF(C54="A",5,3)</f>
        <v/>
      </c>
      <c r="F54" s="10" t="inlineStr"/>
      <c r="G54" s="10" t="inlineStr"/>
      <c r="H54" s="10" t="inlineStr"/>
      <c r="I54" s="10" t="inlineStr"/>
      <c r="J54" s="12">
        <f>IF(COUNTA(F54:I54)&lt;4,"",E54*MAX(0,AVERAGE(F54:H54)-0.5*I54))</f>
        <v/>
      </c>
      <c r="K54" s="3">
        <f>IF(COUNTA(F54:H54)&lt;3,"",IF(AND(D54="Y",OR(F54&lt;3,G54&lt;3,H54&lt;3)),"FAIL",""))</f>
        <v/>
      </c>
      <c r="L54" s="10" t="inlineStr"/>
      <c r="M54" s="11" t="inlineStr"/>
    </row>
    <row r="55">
      <c r="A55" s="3">
        <f>Questionnaire!A55</f>
        <v/>
      </c>
      <c r="B55" s="3">
        <f>Questionnaire!B55</f>
        <v/>
      </c>
      <c r="C55" s="3">
        <f>Questionnaire!C55</f>
        <v/>
      </c>
      <c r="D55" s="3">
        <f>Questionnaire!D55</f>
        <v/>
      </c>
      <c r="E55" s="3">
        <f>IF(C55="A",5,3)</f>
        <v/>
      </c>
      <c r="F55" s="10" t="inlineStr"/>
      <c r="G55" s="10" t="inlineStr"/>
      <c r="H55" s="10" t="inlineStr"/>
      <c r="I55" s="10" t="inlineStr"/>
      <c r="J55" s="12">
        <f>IF(COUNTA(F55:I55)&lt;4,"",E55*MAX(0,AVERAGE(F55:H55)-0.5*I55))</f>
        <v/>
      </c>
      <c r="K55" s="3">
        <f>IF(COUNTA(F55:H55)&lt;3,"",IF(AND(D55="Y",OR(F55&lt;3,G55&lt;3,H55&lt;3)),"FAIL",""))</f>
        <v/>
      </c>
      <c r="L55" s="10" t="inlineStr"/>
      <c r="M55" s="11" t="inlineStr"/>
    </row>
    <row r="56">
      <c r="A56" s="3">
        <f>Questionnaire!A56</f>
        <v/>
      </c>
      <c r="B56" s="3">
        <f>Questionnaire!B56</f>
        <v/>
      </c>
      <c r="C56" s="3">
        <f>Questionnaire!C56</f>
        <v/>
      </c>
      <c r="D56" s="3">
        <f>Questionnaire!D56</f>
        <v/>
      </c>
      <c r="E56" s="3">
        <f>IF(C56="A",5,3)</f>
        <v/>
      </c>
      <c r="F56" s="10" t="inlineStr"/>
      <c r="G56" s="10" t="inlineStr"/>
      <c r="H56" s="10" t="inlineStr"/>
      <c r="I56" s="10" t="inlineStr"/>
      <c r="J56" s="12">
        <f>IF(COUNTA(F56:I56)&lt;4,"",E56*MAX(0,AVERAGE(F56:H56)-0.5*I56))</f>
        <v/>
      </c>
      <c r="K56" s="3">
        <f>IF(COUNTA(F56:H56)&lt;3,"",IF(AND(D56="Y",OR(F56&lt;3,G56&lt;3,H56&lt;3)),"FAIL",""))</f>
        <v/>
      </c>
      <c r="L56" s="10" t="inlineStr"/>
      <c r="M56" s="11" t="inlineStr"/>
    </row>
    <row r="57">
      <c r="A57" s="3">
        <f>Questionnaire!A57</f>
        <v/>
      </c>
      <c r="B57" s="3">
        <f>Questionnaire!B57</f>
        <v/>
      </c>
      <c r="C57" s="3">
        <f>Questionnaire!C57</f>
        <v/>
      </c>
      <c r="D57" s="3">
        <f>Questionnaire!D57</f>
        <v/>
      </c>
      <c r="E57" s="3">
        <f>IF(C57="A",5,3)</f>
        <v/>
      </c>
      <c r="F57" s="10" t="inlineStr"/>
      <c r="G57" s="10" t="inlineStr"/>
      <c r="H57" s="10" t="inlineStr"/>
      <c r="I57" s="10" t="inlineStr"/>
      <c r="J57" s="12">
        <f>IF(COUNTA(F57:I57)&lt;4,"",E57*MAX(0,AVERAGE(F57:H57)-0.5*I57))</f>
        <v/>
      </c>
      <c r="K57" s="3">
        <f>IF(COUNTA(F57:H57)&lt;3,"",IF(AND(D57="Y",OR(F57&lt;3,G57&lt;3,H57&lt;3)),"FAIL",""))</f>
        <v/>
      </c>
      <c r="L57" s="10" t="inlineStr"/>
      <c r="M57" s="11" t="inlineStr"/>
    </row>
    <row r="58">
      <c r="A58" s="3">
        <f>Questionnaire!A58</f>
        <v/>
      </c>
      <c r="B58" s="3">
        <f>Questionnaire!B58</f>
        <v/>
      </c>
      <c r="C58" s="3">
        <f>Questionnaire!C58</f>
        <v/>
      </c>
      <c r="D58" s="3">
        <f>Questionnaire!D58</f>
        <v/>
      </c>
      <c r="E58" s="3">
        <f>IF(C58="A",5,3)</f>
        <v/>
      </c>
      <c r="F58" s="10" t="inlineStr"/>
      <c r="G58" s="10" t="inlineStr"/>
      <c r="H58" s="10" t="inlineStr"/>
      <c r="I58" s="10" t="inlineStr"/>
      <c r="J58" s="12">
        <f>IF(COUNTA(F58:I58)&lt;4,"",E58*MAX(0,AVERAGE(F58:H58)-0.5*I58))</f>
        <v/>
      </c>
      <c r="K58" s="3">
        <f>IF(COUNTA(F58:H58)&lt;3,"",IF(AND(D58="Y",OR(F58&lt;3,G58&lt;3,H58&lt;3)),"FAIL",""))</f>
        <v/>
      </c>
      <c r="L58" s="10" t="inlineStr"/>
      <c r="M58" s="11" t="inlineStr"/>
    </row>
    <row r="59">
      <c r="A59" s="3">
        <f>Questionnaire!A59</f>
        <v/>
      </c>
      <c r="B59" s="3">
        <f>Questionnaire!B59</f>
        <v/>
      </c>
      <c r="C59" s="3">
        <f>Questionnaire!C59</f>
        <v/>
      </c>
      <c r="D59" s="3">
        <f>Questionnaire!D59</f>
        <v/>
      </c>
      <c r="E59" s="3">
        <f>IF(C59="A",5,3)</f>
        <v/>
      </c>
      <c r="F59" s="10" t="inlineStr"/>
      <c r="G59" s="10" t="inlineStr"/>
      <c r="H59" s="10" t="inlineStr"/>
      <c r="I59" s="10" t="inlineStr"/>
      <c r="J59" s="12">
        <f>IF(COUNTA(F59:I59)&lt;4,"",E59*MAX(0,AVERAGE(F59:H59)-0.5*I59))</f>
        <v/>
      </c>
      <c r="K59" s="3">
        <f>IF(COUNTA(F59:H59)&lt;3,"",IF(AND(D59="Y",OR(F59&lt;3,G59&lt;3,H59&lt;3)),"FAIL",""))</f>
        <v/>
      </c>
      <c r="L59" s="10" t="inlineStr"/>
      <c r="M59" s="11" t="inlineStr"/>
    </row>
    <row r="62">
      <c r="A62" s="13" t="inlineStr">
        <is>
          <t>Summary</t>
        </is>
      </c>
    </row>
    <row r="63">
      <c r="A63" s="14" t="inlineStr">
        <is>
          <t>Total weighted score</t>
        </is>
      </c>
      <c r="B63" s="15">
        <f>SUM(J2:J59)</f>
        <v/>
      </c>
    </row>
    <row r="64">
      <c r="A64" s="14" t="inlineStr">
        <is>
          <t>Average weighted score</t>
        </is>
      </c>
      <c r="B64" s="15">
        <f>IFERROR(AVERAGEIF(J2:J59,"&gt;0"),0)</f>
        <v/>
      </c>
    </row>
    <row r="65">
      <c r="A65" s="14" t="inlineStr">
        <is>
          <t>Knockout fails</t>
        </is>
      </c>
      <c r="B65" s="15">
        <f>COUNTIF(K2:K59,"FAIL")</f>
        <v/>
      </c>
    </row>
    <row r="66">
      <c r="A66" s="14" t="inlineStr">
        <is>
          <t>Priority A rows unresolved</t>
        </is>
      </c>
      <c r="B66" s="15">
        <f>COUNTIFS(C2:C59,"A",F2:F59,"")</f>
        <v/>
      </c>
    </row>
  </sheetData>
  <mergeCells count="1">
    <mergeCell ref="A62:D62"/>
  </mergeCells>
  <conditionalFormatting sqref="K2:K59">
    <cfRule type="cellIs" priority="1" operator="equal" dxfId="0">
      <formula>"FAIL"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2026-04-13T13:56:47Z</dcterms:created>
  <dcterms:modified xmlns:dcterms="http://purl.org/dc/terms/" xmlns:xsi="http://www.w3.org/2001/XMLSchema-instance" xsi:type="dcterms:W3CDTF">2026-04-13T13:58:11Z</dcterms:modified>
</cp:coreProperties>
</file>